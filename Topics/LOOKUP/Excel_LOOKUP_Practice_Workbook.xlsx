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ex" sheetId="1" state="visible" r:id="rId1"/>
    <sheet xmlns:r="http://schemas.openxmlformats.org/officeDocument/2006/relationships" name="Q01 VLOOKUP City" sheetId="2" state="visible" r:id="rId2"/>
    <sheet xmlns:r="http://schemas.openxmlformats.org/officeDocument/2006/relationships" name="Q02 XLOOKUP Product" sheetId="3" state="visible" r:id="rId3"/>
    <sheet xmlns:r="http://schemas.openxmlformats.org/officeDocument/2006/relationships" name="Q03 XLOOKUP Exact Match" sheetId="4" state="visible" r:id="rId4"/>
    <sheet xmlns:r="http://schemas.openxmlformats.org/officeDocument/2006/relationships" name="Q04 XLOOKUP Left Lookup" sheetId="5" state="visible" r:id="rId5"/>
    <sheet xmlns:r="http://schemas.openxmlformats.org/officeDocument/2006/relationships" name="Q05 XLOOKUP Default" sheetId="6" state="visible" r:id="rId6"/>
    <sheet xmlns:r="http://schemas.openxmlformats.org/officeDocument/2006/relationships" name="Q06 XLOOKUP Wildcard" sheetId="7" state="visible" r:id="rId7"/>
    <sheet xmlns:r="http://schemas.openxmlformats.org/officeDocument/2006/relationships" name="Q07 Error Handling" sheetId="8" state="visible" r:id="rId8"/>
    <sheet xmlns:r="http://schemas.openxmlformats.org/officeDocument/2006/relationships" name="Q08a INDEX-MATCH Manager" sheetId="9" state="visible" r:id="rId9"/>
    <sheet xmlns:r="http://schemas.openxmlformats.org/officeDocument/2006/relationships" name="Q08b INDEX-MATCH Email" sheetId="10" state="visible" r:id="rId10"/>
    <sheet xmlns:r="http://schemas.openxmlformats.org/officeDocument/2006/relationships" name="Q09 Two-Way INDEX-MATCH" sheetId="11" state="visible" r:id="rId11"/>
    <sheet xmlns:r="http://schemas.openxmlformats.org/officeDocument/2006/relationships" name="Q10 Nested XLOOKUP" sheetId="12" state="visible" r:id="rId12"/>
    <sheet xmlns:r="http://schemas.openxmlformats.org/officeDocument/2006/relationships" name="Q11 Return Multiple Cols" sheetId="13" state="visible" r:id="rId13"/>
    <sheet xmlns:r="http://schemas.openxmlformats.org/officeDocument/2006/relationships" name="Q12 VLOOKUP Price" sheetId="14" state="visible" r:id="rId14"/>
    <sheet xmlns:r="http://schemas.openxmlformats.org/officeDocument/2006/relationships" name="Q13 VLOOKUP Department" sheetId="15" state="visible" r:id="rId15"/>
    <sheet xmlns:r="http://schemas.openxmlformats.org/officeDocument/2006/relationships" name="Q14 HLOOKUP Targets" sheetId="16" state="visible" r:id="rId16"/>
    <sheet xmlns:r="http://schemas.openxmlformats.org/officeDocument/2006/relationships" name="Q15 VLOOKUP Approx Match" sheetId="17" state="visible" r:id="rId17"/>
  </sheets>
  <definedNames/>
  <calcPr calcId="124519" fullCalcOnLoad="1"/>
</workbook>
</file>

<file path=xl/styles.xml><?xml version="1.0" encoding="utf-8"?>
<styleSheet xmlns="http://schemas.openxmlformats.org/spreadsheetml/2006/main">
  <numFmts count="3">
    <numFmt numFmtId="164" formatCode="$#,##0"/>
    <numFmt numFmtId="165" formatCode="$0.00"/>
    <numFmt numFmtId="166" formatCode="$#,##0.00"/>
  </numFmts>
  <fonts count="20">
    <font>
      <name val="Calibri"/>
      <family val="2"/>
      <color theme="1"/>
      <sz val="11"/>
      <scheme val="minor"/>
    </font>
    <font>
      <name val="Arial"/>
      <b val="1"/>
      <color rgb="00FFFFFF"/>
      <sz val="10"/>
    </font>
    <font>
      <name val="Arial"/>
      <sz val="10"/>
    </font>
    <font>
      <name val="Arial"/>
      <b val="1"/>
      <color rgb="00000000"/>
      <sz val="10"/>
    </font>
    <font>
      <name val="Arial"/>
      <b val="1"/>
      <color rgb="000000FF"/>
      <sz val="10"/>
    </font>
    <font>
      <name val="Arial"/>
      <b val="1"/>
      <color rgb="00006100"/>
      <sz val="10"/>
    </font>
    <font>
      <name val="Arial"/>
      <b val="1"/>
      <color rgb="00FFFFFF"/>
      <sz val="15"/>
    </font>
    <font>
      <name val="Arial"/>
      <i val="1"/>
      <color rgb="001F3864"/>
      <sz val="10"/>
    </font>
    <font>
      <name val="Arial"/>
      <color rgb="00000000"/>
      <sz val="10"/>
    </font>
    <font>
      <name val="Arial"/>
      <b val="1"/>
      <color rgb="00375623"/>
      <sz val="10"/>
    </font>
    <font>
      <name val="Arial"/>
      <i val="1"/>
      <color rgb="00833C0B"/>
      <sz val="10"/>
    </font>
    <font>
      <name val="Arial"/>
      <b val="1"/>
      <color rgb="00000000"/>
      <sz val="12"/>
    </font>
    <font>
      <name val="Arial"/>
      <b val="1"/>
      <color rgb="00000000"/>
      <sz val="11"/>
    </font>
    <font>
      <name val="Arial"/>
      <b val="1"/>
      <color rgb="00FFFFFF"/>
      <sz val="18"/>
    </font>
    <font>
      <name val="Arial"/>
      <color rgb="000563C1"/>
      <sz val="10"/>
      <u val="single"/>
    </font>
    <font>
      <name val="Arial"/>
      <b val="1"/>
      <color rgb="0070AD47"/>
      <sz val="10"/>
    </font>
    <font>
      <name val="Arial"/>
      <b val="1"/>
      <color rgb="00ED7D31"/>
      <sz val="10"/>
    </font>
    <font>
      <name val="Arial"/>
      <b val="1"/>
      <color rgb="00C00000"/>
      <sz val="10"/>
    </font>
    <font>
      <name val="Arial"/>
      <b val="1"/>
      <sz val="10"/>
    </font>
    <font>
      <name val="Arial"/>
      <i val="1"/>
      <color rgb="007F7F7F"/>
      <sz val="9"/>
    </font>
  </fonts>
  <fills count="14">
    <fill>
      <patternFill/>
    </fill>
    <fill>
      <patternFill patternType="gray125"/>
    </fill>
    <fill>
      <patternFill patternType="solid">
        <fgColor rgb="001F4E78"/>
      </patternFill>
    </fill>
    <fill>
      <patternFill patternType="solid">
        <fgColor rgb="00FFF2CC"/>
      </patternFill>
    </fill>
    <fill>
      <patternFill patternType="solid">
        <fgColor rgb="00C6EFCE"/>
      </patternFill>
    </fill>
    <fill>
      <patternFill patternType="solid">
        <fgColor rgb="001F3864"/>
      </patternFill>
    </fill>
    <fill>
      <patternFill patternType="solid">
        <fgColor rgb="00D9E1F2"/>
      </patternFill>
    </fill>
    <fill>
      <patternFill patternType="solid">
        <fgColor rgb="002F5597"/>
      </patternFill>
    </fill>
    <fill>
      <patternFill patternType="solid">
        <fgColor rgb="00F2F2F2"/>
      </patternFill>
    </fill>
    <fill>
      <patternFill patternType="solid">
        <fgColor rgb="00FFFFFF"/>
      </patternFill>
    </fill>
    <fill>
      <patternFill patternType="solid">
        <fgColor rgb="00548235"/>
      </patternFill>
    </fill>
    <fill>
      <patternFill patternType="solid">
        <fgColor rgb="00E2EFDA"/>
      </patternFill>
    </fill>
    <fill>
      <patternFill patternType="solid">
        <fgColor rgb="007F7F7F"/>
      </patternFill>
    </fill>
    <fill>
      <patternFill patternType="solid">
        <fgColor rgb="00FCE4D6"/>
      </patternFill>
    </fill>
  </fills>
  <borders count="2">
    <border>
      <left/>
      <right/>
      <top/>
      <bottom/>
      <diagonal/>
    </border>
    <border>
      <left style="thin">
        <color rgb="00A6A6A6"/>
      </left>
      <right style="thin">
        <color rgb="00A6A6A6"/>
      </right>
      <top style="thin">
        <color rgb="00A6A6A6"/>
      </top>
      <bottom style="thin">
        <color rgb="00A6A6A6"/>
      </bottom>
    </border>
  </borders>
  <cellStyleXfs count="1">
    <xf numFmtId="0" fontId="0" fillId="0" borderId="0"/>
  </cellStyleXfs>
  <cellXfs count="50">
    <xf numFmtId="0" fontId="0" fillId="0" borderId="0" pivotButton="0" quotePrefix="0" xfId="0"/>
    <xf numFmtId="0" fontId="13" fillId="5" borderId="0" applyAlignment="1" pivotButton="0" quotePrefix="0" xfId="0">
      <alignment vertical="center" indent="1"/>
    </xf>
    <xf numFmtId="0" fontId="7" fillId="6" borderId="0" applyAlignment="1" pivotButton="0" quotePrefix="0" xfId="0">
      <alignment vertical="center" indent="1"/>
    </xf>
    <xf numFmtId="0" fontId="1" fillId="2" borderId="1" applyAlignment="1" pivotButton="0" quotePrefix="0" xfId="0">
      <alignment horizontal="center"/>
    </xf>
    <xf numFmtId="0" fontId="2" fillId="0" borderId="1" applyAlignment="1" pivotButton="0" quotePrefix="0" xfId="0">
      <alignment horizontal="center" vertical="center"/>
    </xf>
    <xf numFmtId="0" fontId="14" fillId="0" borderId="1" applyAlignment="1" pivotButton="0" quotePrefix="0" xfId="0">
      <alignment horizontal="left" vertical="center"/>
    </xf>
    <xf numFmtId="0" fontId="2" fillId="0" borderId="1" applyAlignment="1" pivotButton="0" quotePrefix="0" xfId="0">
      <alignment horizontal="left" vertical="center"/>
    </xf>
    <xf numFmtId="0" fontId="15" fillId="0" borderId="1" applyAlignment="1" pivotButton="0" quotePrefix="0" xfId="0">
      <alignment horizontal="center" vertical="center"/>
    </xf>
    <xf numFmtId="0" fontId="16" fillId="0" borderId="1" applyAlignment="1" pivotButton="0" quotePrefix="0" xfId="0">
      <alignment horizontal="center" vertical="center"/>
    </xf>
    <xf numFmtId="0" fontId="17" fillId="0" borderId="1" applyAlignment="1" pivotButton="0" quotePrefix="0" xfId="0">
      <alignment horizontal="center" vertical="center"/>
    </xf>
    <xf numFmtId="0" fontId="18" fillId="0" borderId="0" pivotButton="0" quotePrefix="0" xfId="0"/>
    <xf numFmtId="0" fontId="4" fillId="3" borderId="1" pivotButton="0" quotePrefix="0" xfId="0"/>
    <xf numFmtId="0" fontId="2" fillId="0" borderId="0" pivotButton="0" quotePrefix="0" xfId="0"/>
    <xf numFmtId="0" fontId="5" fillId="4" borderId="1" pivotButton="0" quotePrefix="0" xfId="0"/>
    <xf numFmtId="0" fontId="19" fillId="0" borderId="0" pivotButton="0" quotePrefix="0" xfId="0"/>
    <xf numFmtId="0" fontId="6" fillId="5" borderId="0" applyAlignment="1" pivotButton="0" quotePrefix="0" xfId="0">
      <alignment vertical="center" wrapText="1" indent="1"/>
    </xf>
    <xf numFmtId="0" fontId="0" fillId="5" borderId="0" pivotButton="0" quotePrefix="0" xfId="0"/>
    <xf numFmtId="0" fontId="7" fillId="6" borderId="0" applyAlignment="1" pivotButton="0" quotePrefix="0" xfId="0">
      <alignment vertical="center" wrapText="1" indent="1"/>
    </xf>
    <xf numFmtId="0" fontId="0" fillId="6" borderId="0" pivotButton="0" quotePrefix="0" xfId="0"/>
    <xf numFmtId="0" fontId="1" fillId="7" borderId="0" applyAlignment="1" pivotButton="0" quotePrefix="0" xfId="0">
      <alignment vertical="center" wrapText="1" indent="1"/>
    </xf>
    <xf numFmtId="0" fontId="0" fillId="7" borderId="0" pivotButton="0" quotePrefix="0" xfId="0"/>
    <xf numFmtId="0" fontId="8" fillId="8" borderId="0" applyAlignment="1" pivotButton="0" quotePrefix="0" xfId="0">
      <alignment vertical="center" wrapText="1" indent="1"/>
    </xf>
    <xf numFmtId="0" fontId="0" fillId="8" borderId="0" pivotButton="0" quotePrefix="0" xfId="0"/>
    <xf numFmtId="0" fontId="8" fillId="9" borderId="0" applyAlignment="1" pivotButton="0" quotePrefix="0" xfId="0">
      <alignment vertical="center" wrapText="1" indent="1"/>
    </xf>
    <xf numFmtId="0" fontId="0" fillId="9" borderId="0" pivotButton="0" quotePrefix="0" xfId="0"/>
    <xf numFmtId="0" fontId="1" fillId="10" borderId="0" applyAlignment="1" pivotButton="0" quotePrefix="0" xfId="0">
      <alignment vertical="center" wrapText="1" indent="1"/>
    </xf>
    <xf numFmtId="0" fontId="0" fillId="10" borderId="0" pivotButton="0" quotePrefix="0" xfId="0"/>
    <xf numFmtId="0" fontId="9" fillId="11" borderId="0" applyAlignment="1" pivotButton="0" quotePrefix="0" xfId="0">
      <alignment vertical="center" wrapText="1" indent="1"/>
    </xf>
    <xf numFmtId="0" fontId="0" fillId="11" borderId="0" pivotButton="0" quotePrefix="0" xfId="0"/>
    <xf numFmtId="0" fontId="1" fillId="12" borderId="0" applyAlignment="1" pivotButton="0" quotePrefix="0" xfId="0">
      <alignment vertical="center" wrapText="1" indent="1"/>
    </xf>
    <xf numFmtId="0" fontId="0" fillId="12" borderId="0" pivotButton="0" quotePrefix="0" xfId="0"/>
    <xf numFmtId="0" fontId="1" fillId="2" borderId="1" applyAlignment="1" pivotButton="0" quotePrefix="0" xfId="0">
      <alignment horizontal="center" vertical="center" wrapText="1"/>
    </xf>
    <xf numFmtId="0" fontId="3" fillId="0" borderId="0" applyAlignment="1" pivotButton="0" quotePrefix="0" xfId="0">
      <alignment vertical="center"/>
    </xf>
    <xf numFmtId="0" fontId="4" fillId="3" borderId="1" applyAlignment="1" pivotButton="0" quotePrefix="0" xfId="0">
      <alignment horizontal="left" vertical="center"/>
    </xf>
    <xf numFmtId="0" fontId="5" fillId="4" borderId="1" applyAlignment="1" pivotButton="0" quotePrefix="0" xfId="0">
      <alignment horizontal="left" vertical="center"/>
    </xf>
    <xf numFmtId="0" fontId="2" fillId="0" borderId="1" applyAlignment="1" pivotButton="0" quotePrefix="0" xfId="0">
      <alignment horizontal="right" vertical="center"/>
    </xf>
    <xf numFmtId="0" fontId="10" fillId="13" borderId="0" applyAlignment="1" pivotButton="0" quotePrefix="0" xfId="0">
      <alignment vertical="center" wrapText="1" indent="1"/>
    </xf>
    <xf numFmtId="0" fontId="0" fillId="13" borderId="0" pivotButton="0" quotePrefix="0" xfId="0"/>
    <xf numFmtId="2" fontId="2" fillId="0" borderId="1" applyAlignment="1" pivotButton="0" quotePrefix="0" xfId="0">
      <alignment horizontal="right" vertical="center"/>
    </xf>
    <xf numFmtId="2" fontId="5" fillId="4" borderId="1" applyAlignment="1" pivotButton="0" quotePrefix="0" xfId="0">
      <alignment horizontal="left" vertical="center"/>
    </xf>
    <xf numFmtId="164" fontId="2" fillId="0" borderId="1" applyAlignment="1" pivotButton="0" quotePrefix="0" xfId="0">
      <alignment horizontal="right" vertical="center"/>
    </xf>
    <xf numFmtId="164" fontId="5" fillId="4" borderId="1" applyAlignment="1" pivotButton="0" quotePrefix="0" xfId="0">
      <alignment horizontal="left" vertical="center"/>
    </xf>
    <xf numFmtId="0" fontId="11" fillId="0" borderId="0" applyAlignment="1" pivotButton="0" quotePrefix="0" xfId="0">
      <alignment vertical="center"/>
    </xf>
    <xf numFmtId="0" fontId="8" fillId="0" borderId="0" applyAlignment="1" pivotButton="0" quotePrefix="0" xfId="0">
      <alignment vertical="center"/>
    </xf>
    <xf numFmtId="165" fontId="2" fillId="0" borderId="1" applyAlignment="1" pivotButton="0" quotePrefix="0" xfId="0">
      <alignment horizontal="right" vertical="center"/>
    </xf>
    <xf numFmtId="0" fontId="12" fillId="0" borderId="0" applyAlignment="1" pivotButton="0" quotePrefix="0" xfId="0">
      <alignment vertical="center"/>
    </xf>
    <xf numFmtId="165" fontId="5" fillId="4" borderId="1" applyAlignment="1" pivotButton="0" quotePrefix="0" xfId="0">
      <alignment horizontal="left" vertical="center"/>
    </xf>
    <xf numFmtId="3" fontId="2" fillId="0" borderId="1" applyAlignment="1" pivotButton="0" quotePrefix="0" xfId="0">
      <alignment horizontal="right" vertical="center"/>
    </xf>
    <xf numFmtId="3" fontId="5" fillId="4" borderId="1" applyAlignment="1" pivotButton="0" quotePrefix="0" xfId="0">
      <alignment horizontal="left" vertical="center"/>
    </xf>
    <xf numFmtId="166" fontId="2" fillId="0"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Q01 VLOOKUP City'!A1" TargetMode="External" Id="rId1"/><Relationship Type="http://schemas.openxmlformats.org/officeDocument/2006/relationships/hyperlink" Target="#'Q02 XLOOKUP Product'!A1" TargetMode="External" Id="rId2"/><Relationship Type="http://schemas.openxmlformats.org/officeDocument/2006/relationships/hyperlink" Target="#'Q03 XLOOKUP Exact Match'!A1" TargetMode="External" Id="rId3"/><Relationship Type="http://schemas.openxmlformats.org/officeDocument/2006/relationships/hyperlink" Target="#'Q04 XLOOKUP Left Lookup'!A1" TargetMode="External" Id="rId4"/><Relationship Type="http://schemas.openxmlformats.org/officeDocument/2006/relationships/hyperlink" Target="#'Q05 XLOOKUP Default'!A1" TargetMode="External" Id="rId5"/><Relationship Type="http://schemas.openxmlformats.org/officeDocument/2006/relationships/hyperlink" Target="#'Q06 XLOOKUP Wildcard'!A1" TargetMode="External" Id="rId6"/><Relationship Type="http://schemas.openxmlformats.org/officeDocument/2006/relationships/hyperlink" Target="#'Q07 Error Handling'!A1" TargetMode="External" Id="rId7"/><Relationship Type="http://schemas.openxmlformats.org/officeDocument/2006/relationships/hyperlink" Target="#'Q08a INDEX-MATCH Manager'!A1" TargetMode="External" Id="rId8"/><Relationship Type="http://schemas.openxmlformats.org/officeDocument/2006/relationships/hyperlink" Target="#'Q08b INDEX-MATCH Email'!A1" TargetMode="External" Id="rId9"/><Relationship Type="http://schemas.openxmlformats.org/officeDocument/2006/relationships/hyperlink" Target="#'Q09 Two-Way INDEX-MATCH'!A1" TargetMode="External" Id="rId10"/><Relationship Type="http://schemas.openxmlformats.org/officeDocument/2006/relationships/hyperlink" Target="#'Q10 Nested XLOOKUP'!A1" TargetMode="External" Id="rId11"/><Relationship Type="http://schemas.openxmlformats.org/officeDocument/2006/relationships/hyperlink" Target="#'Q11 Return Multiple Cols'!A1" TargetMode="External" Id="rId12"/><Relationship Type="http://schemas.openxmlformats.org/officeDocument/2006/relationships/hyperlink" Target="#'Q12 VLOOKUP Price'!A1" TargetMode="External" Id="rId13"/><Relationship Type="http://schemas.openxmlformats.org/officeDocument/2006/relationships/hyperlink" Target="#'Q13 VLOOKUP Department'!A1" TargetMode="External" Id="rId14"/><Relationship Type="http://schemas.openxmlformats.org/officeDocument/2006/relationships/hyperlink" Target="#'Q14 HLOOKUP Targets'!A1" TargetMode="External" Id="rId15"/><Relationship Type="http://schemas.openxmlformats.org/officeDocument/2006/relationships/hyperlink" Target="#'Q15 VLOOKUP Approx Match'!A1" TargetMode="External" Id="rId16"/></Relationships>
</file>

<file path=xl/worksheets/sheet1.xml><?xml version="1.0" encoding="utf-8"?>
<worksheet xmlns="http://schemas.openxmlformats.org/spreadsheetml/2006/main">
  <sheetPr>
    <tabColor rgb="001F3864"/>
    <outlinePr summaryBelow="1" summaryRight="1"/>
    <pageSetUpPr/>
  </sheetPr>
  <dimension ref="A1:E26"/>
  <sheetViews>
    <sheetView showGridLines="0" workbookViewId="0">
      <selection activeCell="A1" sqref="A1"/>
    </sheetView>
  </sheetViews>
  <sheetFormatPr baseColWidth="8" defaultRowHeight="15"/>
  <cols>
    <col width="6" customWidth="1" min="1" max="1"/>
    <col width="30" customWidth="1" min="2" max="2"/>
    <col width="46" customWidth="1" min="3" max="3"/>
    <col width="15" customWidth="1" min="4" max="4"/>
    <col width="34" customWidth="1" min="5" max="5"/>
  </cols>
  <sheetData>
    <row r="1" ht="38" customHeight="1">
      <c r="A1" s="1" t="inlineStr">
        <is>
          <t>Excel LOOKUP Functions – Practice Workbook</t>
        </is>
      </c>
    </row>
    <row r="2" ht="20" customHeight="1">
      <c r="A2" s="2" t="inlineStr">
        <is>
          <t>VLOOKUP  •  HLOOKUP  •  XLOOKUP  •  INDEX + MATCH   |   one question per sheet, with practice data and answers</t>
        </is>
      </c>
    </row>
    <row r="4">
      <c r="A4" s="3" t="inlineStr">
        <is>
          <t>#</t>
        </is>
      </c>
      <c r="B4" s="3" t="inlineStr">
        <is>
          <t>Sheet (click to open)</t>
        </is>
      </c>
      <c r="C4" s="3" t="inlineStr">
        <is>
          <t>Topic</t>
        </is>
      </c>
      <c r="D4" s="3" t="inlineStr">
        <is>
          <t>Level</t>
        </is>
      </c>
      <c r="E4" s="3" t="inlineStr">
        <is>
          <t>Functions</t>
        </is>
      </c>
    </row>
    <row r="5">
      <c r="A5" s="4" t="n">
        <v>1</v>
      </c>
      <c r="B5" s="5" t="inlineStr">
        <is>
          <t>Q01 VLOOKUP City</t>
        </is>
      </c>
      <c r="C5" s="6" t="inlineStr">
        <is>
          <t>Find a customer's city with VLOOKUP</t>
        </is>
      </c>
      <c r="D5" s="7" t="inlineStr">
        <is>
          <t>Beginner</t>
        </is>
      </c>
      <c r="E5" s="6" t="inlineStr">
        <is>
          <t>VLOOKUP</t>
        </is>
      </c>
    </row>
    <row r="6">
      <c r="A6" s="4" t="n">
        <v>2</v>
      </c>
      <c r="B6" s="5" t="inlineStr">
        <is>
          <t>Q02 XLOOKUP Product</t>
        </is>
      </c>
      <c r="C6" s="6" t="inlineStr">
        <is>
          <t>Look up a product with XLOOKUP</t>
        </is>
      </c>
      <c r="D6" s="7" t="inlineStr">
        <is>
          <t>Beginner</t>
        </is>
      </c>
      <c r="E6" s="6" t="inlineStr">
        <is>
          <t>XLOOKUP</t>
        </is>
      </c>
    </row>
    <row r="7">
      <c r="A7" s="4" t="n">
        <v>3</v>
      </c>
      <c r="B7" s="5" t="inlineStr">
        <is>
          <t>Q03 XLOOKUP Exact Match</t>
        </is>
      </c>
      <c r="C7" s="6" t="inlineStr">
        <is>
          <t>XLOOKUP with exact match</t>
        </is>
      </c>
      <c r="D7" s="7" t="inlineStr">
        <is>
          <t>Beginner</t>
        </is>
      </c>
      <c r="E7" s="6" t="inlineStr">
        <is>
          <t>XLOOKUP</t>
        </is>
      </c>
    </row>
    <row r="8">
      <c r="A8" s="4" t="n">
        <v>4</v>
      </c>
      <c r="B8" s="5" t="inlineStr">
        <is>
          <t>Q04 XLOOKUP Left Lookup</t>
        </is>
      </c>
      <c r="C8" s="6" t="inlineStr">
        <is>
          <t>XLOOKUP left lookup</t>
        </is>
      </c>
      <c r="D8" s="8" t="inlineStr">
        <is>
          <t>Intermediate</t>
        </is>
      </c>
      <c r="E8" s="6" t="inlineStr">
        <is>
          <t>XLOOKUP</t>
        </is>
      </c>
    </row>
    <row r="9">
      <c r="A9" s="4" t="n">
        <v>5</v>
      </c>
      <c r="B9" s="5" t="inlineStr">
        <is>
          <t>Q05 XLOOKUP Default</t>
        </is>
      </c>
      <c r="C9" s="6" t="inlineStr">
        <is>
          <t>XLOOKUP with a default value</t>
        </is>
      </c>
      <c r="D9" s="8" t="inlineStr">
        <is>
          <t>Intermediate</t>
        </is>
      </c>
      <c r="E9" s="6" t="inlineStr">
        <is>
          <t>XLOOKUP, if_not_found</t>
        </is>
      </c>
    </row>
    <row r="10">
      <c r="A10" s="4" t="n">
        <v>6</v>
      </c>
      <c r="B10" s="5" t="inlineStr">
        <is>
          <t>Q06 XLOOKUP Wildcard</t>
        </is>
      </c>
      <c r="C10" s="6" t="inlineStr">
        <is>
          <t>XLOOKUP with wildcard search</t>
        </is>
      </c>
      <c r="D10" s="8" t="inlineStr">
        <is>
          <t>Intermediate</t>
        </is>
      </c>
      <c r="E10" s="6" t="inlineStr">
        <is>
          <t>XLOOKUP, wildcard (match_mode 2)</t>
        </is>
      </c>
    </row>
    <row r="11">
      <c r="A11" s="4" t="n">
        <v>7</v>
      </c>
      <c r="B11" s="5" t="inlineStr">
        <is>
          <t>Q07 Error Handling</t>
        </is>
      </c>
      <c r="C11" s="6" t="inlineStr">
        <is>
          <t>Lookup error handling</t>
        </is>
      </c>
      <c r="D11" s="7" t="inlineStr">
        <is>
          <t>Beginner</t>
        </is>
      </c>
      <c r="E11" s="6" t="inlineStr">
        <is>
          <t>VLOOKUP, IFNA, XLOOKUP</t>
        </is>
      </c>
    </row>
    <row r="12">
      <c r="A12" s="4" t="n">
        <v>8</v>
      </c>
      <c r="B12" s="5" t="inlineStr">
        <is>
          <t>Q08a INDEX-MATCH Manager</t>
        </is>
      </c>
      <c r="C12" s="6" t="inlineStr">
        <is>
          <t>Look up a manager with INDEX + MATCH</t>
        </is>
      </c>
      <c r="D12" s="8" t="inlineStr">
        <is>
          <t>Intermediate</t>
        </is>
      </c>
      <c r="E12" s="6" t="inlineStr">
        <is>
          <t>INDEX, MATCH (and XLOOKUP)</t>
        </is>
      </c>
    </row>
    <row r="13">
      <c r="A13" s="4" t="n">
        <v>9</v>
      </c>
      <c r="B13" s="5" t="inlineStr">
        <is>
          <t>Q08b INDEX-MATCH Email</t>
        </is>
      </c>
      <c r="C13" s="6" t="inlineStr">
        <is>
          <t>INDEX-MATCH left lookup (email)</t>
        </is>
      </c>
      <c r="D13" s="8" t="inlineStr">
        <is>
          <t>Intermediate</t>
        </is>
      </c>
      <c r="E13" s="6" t="inlineStr">
        <is>
          <t>INDEX, MATCH (and XLOOKUP)</t>
        </is>
      </c>
    </row>
    <row r="14">
      <c r="A14" s="4" t="n">
        <v>10</v>
      </c>
      <c r="B14" s="5" t="inlineStr">
        <is>
          <t>Q09 Two-Way INDEX-MATCH</t>
        </is>
      </c>
      <c r="C14" s="6" t="inlineStr">
        <is>
          <t>INDEX-MATCH with MATCH in both directions</t>
        </is>
      </c>
      <c r="D14" s="8" t="inlineStr">
        <is>
          <t>Intermediate</t>
        </is>
      </c>
      <c r="E14" s="6" t="inlineStr">
        <is>
          <t>INDEX, MATCH, XLOOKUP</t>
        </is>
      </c>
    </row>
    <row r="15">
      <c r="A15" s="4" t="n">
        <v>11</v>
      </c>
      <c r="B15" s="5" t="inlineStr">
        <is>
          <t>Q10 Nested XLOOKUP</t>
        </is>
      </c>
      <c r="C15" s="6" t="inlineStr">
        <is>
          <t>XLOOKUP with multiple criteria (two-way)</t>
        </is>
      </c>
      <c r="D15" s="9" t="inlineStr">
        <is>
          <t>Advanced</t>
        </is>
      </c>
      <c r="E15" s="6" t="inlineStr">
        <is>
          <t>XLOOKUP (nested)</t>
        </is>
      </c>
    </row>
    <row r="16">
      <c r="A16" s="4" t="n">
        <v>12</v>
      </c>
      <c r="B16" s="5" t="inlineStr">
        <is>
          <t>Q11 Return Multiple Cols</t>
        </is>
      </c>
      <c r="C16" s="6" t="inlineStr">
        <is>
          <t>Return multiple columns</t>
        </is>
      </c>
      <c r="D16" s="9" t="inlineStr">
        <is>
          <t>Advanced</t>
        </is>
      </c>
      <c r="E16" s="6" t="inlineStr">
        <is>
          <t>XLOOKUP (multi-column return)</t>
        </is>
      </c>
    </row>
    <row r="17">
      <c r="A17" s="4" t="n">
        <v>13</v>
      </c>
      <c r="B17" s="5" t="inlineStr">
        <is>
          <t>Q12 VLOOKUP Price</t>
        </is>
      </c>
      <c r="C17" s="6" t="inlineStr">
        <is>
          <t>VLOOKUP for price</t>
        </is>
      </c>
      <c r="D17" s="7" t="inlineStr">
        <is>
          <t>Beginner</t>
        </is>
      </c>
      <c r="E17" s="6" t="inlineStr">
        <is>
          <t>VLOOKUP</t>
        </is>
      </c>
    </row>
    <row r="18">
      <c r="A18" s="4" t="n">
        <v>14</v>
      </c>
      <c r="B18" s="5" t="inlineStr">
        <is>
          <t>Q13 VLOOKUP Department</t>
        </is>
      </c>
      <c r="C18" s="6" t="inlineStr">
        <is>
          <t>Use VLOOKUP to find an employee's department</t>
        </is>
      </c>
      <c r="D18" s="7" t="inlineStr">
        <is>
          <t>Beginner</t>
        </is>
      </c>
      <c r="E18" s="6" t="inlineStr">
        <is>
          <t>VLOOKUP</t>
        </is>
      </c>
    </row>
    <row r="19">
      <c r="A19" s="4" t="n">
        <v>15</v>
      </c>
      <c r="B19" s="5" t="inlineStr">
        <is>
          <t>Q14 HLOOKUP Targets</t>
        </is>
      </c>
      <c r="C19" s="6" t="inlineStr">
        <is>
          <t>HLOOKUP for quarterly targets</t>
        </is>
      </c>
      <c r="D19" s="7" t="inlineStr">
        <is>
          <t>Beginner</t>
        </is>
      </c>
      <c r="E19" s="6" t="inlineStr">
        <is>
          <t>HLOOKUP</t>
        </is>
      </c>
    </row>
    <row r="20">
      <c r="A20" s="4" t="n">
        <v>16</v>
      </c>
      <c r="B20" s="5" t="inlineStr">
        <is>
          <t>Q15 VLOOKUP Approx Match</t>
        </is>
      </c>
      <c r="C20" s="6" t="inlineStr">
        <is>
          <t>VLOOKUP with approximate match</t>
        </is>
      </c>
      <c r="D20" s="8" t="inlineStr">
        <is>
          <t>Intermediate</t>
        </is>
      </c>
      <c r="E20" s="6" t="inlineStr">
        <is>
          <t>VLOOKUP (TRUE)</t>
        </is>
      </c>
    </row>
    <row r="22">
      <c r="B22" s="10" t="inlineStr">
        <is>
          <t>Legend</t>
        </is>
      </c>
    </row>
    <row r="23">
      <c r="B23" s="11" t="inlineStr">
        <is>
          <t>Yellow cell</t>
        </is>
      </c>
      <c r="C23" s="12" t="inlineStr">
        <is>
          <t>Input / lookup value (you can change it and watch the answer update)</t>
        </is>
      </c>
    </row>
    <row r="24">
      <c r="B24" s="13" t="inlineStr">
        <is>
          <t>Green cell</t>
        </is>
      </c>
      <c r="C24" s="12" t="inlineStr">
        <is>
          <t>Answer cell (formula)</t>
        </is>
      </c>
    </row>
    <row r="26">
      <c r="B26" s="14" t="inlineStr">
        <is>
          <t>XLOOKUP needs Excel 2021 or Microsoft 365. Cell addresses on each sheet are shifted down by 11 rows to make space for the question and answer panel; the task text already uses the new addresses.</t>
        </is>
      </c>
    </row>
  </sheetData>
  <mergeCells count="2">
    <mergeCell ref="A2:E2"/>
    <mergeCell ref="A1:E1"/>
  </mergeCells>
  <hyperlinks>
    <hyperlink xmlns:r="http://schemas.openxmlformats.org/officeDocument/2006/relationships" ref="B5" r:id="rId1"/>
    <hyperlink xmlns:r="http://schemas.openxmlformats.org/officeDocument/2006/relationships" ref="B6" r:id="rId2"/>
    <hyperlink xmlns:r="http://schemas.openxmlformats.org/officeDocument/2006/relationships" ref="B7" r:id="rId3"/>
    <hyperlink xmlns:r="http://schemas.openxmlformats.org/officeDocument/2006/relationships" ref="B8" r:id="rId4"/>
    <hyperlink xmlns:r="http://schemas.openxmlformats.org/officeDocument/2006/relationships" ref="B9" r:id="rId5"/>
    <hyperlink xmlns:r="http://schemas.openxmlformats.org/officeDocument/2006/relationships" ref="B10" r:id="rId6"/>
    <hyperlink xmlns:r="http://schemas.openxmlformats.org/officeDocument/2006/relationships" ref="B11" r:id="rId7"/>
    <hyperlink xmlns:r="http://schemas.openxmlformats.org/officeDocument/2006/relationships" ref="B12" r:id="rId8"/>
    <hyperlink xmlns:r="http://schemas.openxmlformats.org/officeDocument/2006/relationships" ref="B13" r:id="rId9"/>
    <hyperlink xmlns:r="http://schemas.openxmlformats.org/officeDocument/2006/relationships" ref="B14" r:id="rId10"/>
    <hyperlink xmlns:r="http://schemas.openxmlformats.org/officeDocument/2006/relationships" ref="B15" r:id="rId11"/>
    <hyperlink xmlns:r="http://schemas.openxmlformats.org/officeDocument/2006/relationships" ref="B16" r:id="rId12"/>
    <hyperlink xmlns:r="http://schemas.openxmlformats.org/officeDocument/2006/relationships" ref="B17" r:id="rId13"/>
    <hyperlink xmlns:r="http://schemas.openxmlformats.org/officeDocument/2006/relationships" ref="B18" r:id="rId14"/>
    <hyperlink xmlns:r="http://schemas.openxmlformats.org/officeDocument/2006/relationships" ref="B19" r:id="rId15"/>
    <hyperlink xmlns:r="http://schemas.openxmlformats.org/officeDocument/2006/relationships" ref="B20" r:id="rId16"/>
  </hyperlinks>
  <pageMargins left="0.75" right="0.75" top="1" bottom="1" header="0.5" footer="0.5"/>
</worksheet>
</file>

<file path=xl/worksheets/sheet2.xml><?xml version="1.0" encoding="utf-8"?>
<worksheet xmlns="http://schemas.openxmlformats.org/spreadsheetml/2006/main">
  <sheetPr>
    <tabColor rgb="0070AD47"/>
    <outlinePr summaryBelow="1" summaryRight="1"/>
    <pageSetUpPr fitToPage="1"/>
  </sheetPr>
  <dimension ref="A1:H21"/>
  <sheetViews>
    <sheetView showGridLines="0" workbookViewId="0">
      <selection activeCell="A1" sqref="A1"/>
    </sheetView>
  </sheetViews>
  <sheetFormatPr baseColWidth="8" defaultRowHeight="15"/>
  <cols>
    <col width="18" customWidth="1" min="1" max="1"/>
    <col width="20" customWidth="1" min="2" max="2"/>
    <col width="16" customWidth="1" min="3" max="3"/>
    <col width="16" customWidth="1" min="4" max="4"/>
    <col width="16" customWidth="1" min="5" max="5"/>
    <col width="16" customWidth="1" min="6" max="6"/>
    <col width="16" customWidth="1" min="7" max="7"/>
    <col width="16" customWidth="1" min="8" max="8"/>
  </cols>
  <sheetData>
    <row r="1" ht="30" customHeight="1">
      <c r="A1" s="15" t="inlineStr">
        <is>
          <t>QUESTION 01  |  Find a customer's city with VLOOKUP</t>
        </is>
      </c>
      <c r="B1" s="16" t="n"/>
      <c r="C1" s="16" t="n"/>
      <c r="D1" s="16" t="n"/>
      <c r="E1" s="16" t="n"/>
      <c r="F1" s="16" t="n"/>
      <c r="G1" s="16" t="n"/>
      <c r="H1" s="16" t="n"/>
    </row>
    <row r="2" ht="20" customHeight="1">
      <c r="A2" s="17" t="inlineStr">
        <is>
          <t>Level: Beginner      Functions: VLOOKUP</t>
        </is>
      </c>
      <c r="B2" s="18" t="n"/>
      <c r="C2" s="18" t="n"/>
      <c r="D2" s="18" t="n"/>
      <c r="E2" s="18" t="n"/>
      <c r="F2" s="18" t="n"/>
      <c r="G2" s="18" t="n"/>
      <c r="H2" s="18" t="n"/>
    </row>
    <row r="3" ht="18" customHeight="1">
      <c r="A3" s="19" t="inlineStr">
        <is>
          <t>CONCEPT</t>
        </is>
      </c>
      <c r="B3" s="20" t="n"/>
      <c r="C3" s="20" t="n"/>
      <c r="D3" s="20" t="n"/>
      <c r="E3" s="20" t="n"/>
      <c r="F3" s="20" t="n"/>
      <c r="G3" s="20" t="n"/>
      <c r="H3" s="20" t="n"/>
    </row>
    <row r="4" ht="78" customHeight="1">
      <c r="A4" s="21" t="inlineStr">
        <is>
          <t>Customer data is often stored in a reference table that you query by ID. VLOOKUP searches for a value in the FIRST column of a table and returns a value from another column in the same row.
Syntax: =VLOOKUP(lookup_value, table_array, col_index_num, [range_lookup])
• lookup_value: the value to find (customer ID)   • table_array: the range to search   • col_index_num: which column to return (counted from the left edge of table_array)   • range_lookup: FALSE = exact match</t>
        </is>
      </c>
      <c r="B4" s="22" t="n"/>
      <c r="C4" s="22" t="n"/>
      <c r="D4" s="22" t="n"/>
      <c r="E4" s="22" t="n"/>
      <c r="F4" s="22" t="n"/>
      <c r="G4" s="22" t="n"/>
      <c r="H4" s="22" t="n"/>
    </row>
    <row r="5" ht="18" customHeight="1">
      <c r="A5" s="19" t="inlineStr">
        <is>
          <t>YOUR TASK</t>
        </is>
      </c>
      <c r="B5" s="20" t="n"/>
      <c r="C5" s="20" t="n"/>
      <c r="D5" s="20" t="n"/>
      <c r="E5" s="20" t="n"/>
      <c r="F5" s="20" t="n"/>
      <c r="G5" s="20" t="n"/>
      <c r="H5" s="20" t="n"/>
    </row>
    <row r="6" ht="64" customHeight="1">
      <c r="A6" s="23" t="inlineStr">
        <is>
          <t>1.  Click cell B21.
2.  Write a VLOOKUP formula that looks up the customer ID in B20 in the directory table A13:D18.
3.  Return the city for that customer (3rd column of the table).
4.  Use FALSE as the last argument so Excel only matches the exact customer ID.</t>
        </is>
      </c>
      <c r="B6" s="24" t="n"/>
      <c r="C6" s="24" t="n"/>
      <c r="D6" s="24" t="n"/>
      <c r="E6" s="24" t="n"/>
      <c r="F6" s="24" t="n"/>
      <c r="G6" s="24" t="n"/>
      <c r="H6" s="24" t="n"/>
    </row>
    <row r="7" ht="18" customHeight="1">
      <c r="A7" s="25" t="inlineStr">
        <is>
          <t>ANSWER</t>
        </is>
      </c>
      <c r="B7" s="26" t="n"/>
      <c r="C7" s="26" t="n"/>
      <c r="D7" s="26" t="n"/>
      <c r="E7" s="26" t="n"/>
      <c r="F7" s="26" t="n"/>
      <c r="G7" s="26" t="n"/>
      <c r="H7" s="26" t="n"/>
    </row>
    <row r="8" ht="36" customHeight="1">
      <c r="A8" s="27" t="inlineStr">
        <is>
          <t>B21   →   =VLOOKUP(B20,A13:D18,3,FALSE)
Expected result:  Denver (try changing B9 to C1002 → Seattle)</t>
        </is>
      </c>
      <c r="B8" s="28" t="n"/>
      <c r="C8" s="28" t="n"/>
      <c r="D8" s="28" t="n"/>
      <c r="E8" s="28" t="n"/>
      <c r="F8" s="28" t="n"/>
      <c r="G8" s="28" t="n"/>
      <c r="H8" s="28" t="n"/>
    </row>
    <row r="9" ht="4" customHeight="1"/>
    <row r="10" ht="6" customHeight="1"/>
    <row r="11" ht="20" customHeight="1">
      <c r="A11" s="29" t="inlineStr">
        <is>
          <t>PRACTICE SHEET  (yellow = input / lookup value,  green = your answer cell)</t>
        </is>
      </c>
      <c r="B11" s="30" t="n"/>
      <c r="C11" s="30" t="n"/>
      <c r="D11" s="30" t="n"/>
      <c r="E11" s="30" t="n"/>
      <c r="F11" s="30" t="n"/>
      <c r="G11" s="30" t="n"/>
      <c r="H11" s="30" t="n"/>
    </row>
    <row r="12">
      <c r="A12" s="31" t="inlineStr">
        <is>
          <t>Customer ID</t>
        </is>
      </c>
      <c r="B12" s="31" t="inlineStr">
        <is>
          <t>Customer name</t>
        </is>
      </c>
      <c r="C12" s="31" t="inlineStr">
        <is>
          <t>City</t>
        </is>
      </c>
      <c r="D12" s="31" t="inlineStr">
        <is>
          <t>State</t>
        </is>
      </c>
    </row>
    <row r="13">
      <c r="A13" s="6" t="inlineStr">
        <is>
          <t>C1001</t>
        </is>
      </c>
      <c r="B13" s="6" t="inlineStr">
        <is>
          <t>Riverside Bakery</t>
        </is>
      </c>
      <c r="C13" s="6" t="inlineStr">
        <is>
          <t>Portland</t>
        </is>
      </c>
      <c r="D13" s="6" t="inlineStr">
        <is>
          <t>OR</t>
        </is>
      </c>
    </row>
    <row r="14">
      <c r="A14" s="6" t="inlineStr">
        <is>
          <t>C1002</t>
        </is>
      </c>
      <c r="B14" s="6" t="inlineStr">
        <is>
          <t>Summit Tech</t>
        </is>
      </c>
      <c r="C14" s="6" t="inlineStr">
        <is>
          <t>Seattle</t>
        </is>
      </c>
      <c r="D14" s="6" t="inlineStr">
        <is>
          <t>WA</t>
        </is>
      </c>
    </row>
    <row r="15">
      <c r="A15" s="6" t="inlineStr">
        <is>
          <t>C1003</t>
        </is>
      </c>
      <c r="B15" s="6" t="inlineStr">
        <is>
          <t>Harbor Supplies</t>
        </is>
      </c>
      <c r="C15" s="6" t="inlineStr">
        <is>
          <t>Boston</t>
        </is>
      </c>
      <c r="D15" s="6" t="inlineStr">
        <is>
          <t>MA</t>
        </is>
      </c>
    </row>
    <row r="16">
      <c r="A16" s="6" t="inlineStr">
        <is>
          <t>C1004</t>
        </is>
      </c>
      <c r="B16" s="6" t="inlineStr">
        <is>
          <t>Prairie Foods</t>
        </is>
      </c>
      <c r="C16" s="6" t="inlineStr">
        <is>
          <t>Denver</t>
        </is>
      </c>
      <c r="D16" s="6" t="inlineStr">
        <is>
          <t>CO</t>
        </is>
      </c>
    </row>
    <row r="17">
      <c r="A17" s="6" t="inlineStr">
        <is>
          <t>C1005</t>
        </is>
      </c>
      <c r="B17" s="6" t="inlineStr">
        <is>
          <t>Coastal Gifts</t>
        </is>
      </c>
      <c r="C17" s="6" t="inlineStr">
        <is>
          <t>Miami</t>
        </is>
      </c>
      <c r="D17" s="6" t="inlineStr">
        <is>
          <t>FL</t>
        </is>
      </c>
    </row>
    <row r="18">
      <c r="A18" s="6" t="inlineStr">
        <is>
          <t>C1006</t>
        </is>
      </c>
      <c r="B18" s="6" t="inlineStr">
        <is>
          <t>Maple Imports</t>
        </is>
      </c>
      <c r="C18" s="6" t="inlineStr">
        <is>
          <t>Chicago</t>
        </is>
      </c>
      <c r="D18" s="6" t="inlineStr">
        <is>
          <t>IL</t>
        </is>
      </c>
    </row>
    <row r="20">
      <c r="A20" s="32" t="inlineStr">
        <is>
          <t>Customer ID</t>
        </is>
      </c>
      <c r="B20" s="33" t="inlineStr">
        <is>
          <t>C1004</t>
        </is>
      </c>
    </row>
    <row r="21">
      <c r="A21" s="32" t="inlineStr">
        <is>
          <t>City</t>
        </is>
      </c>
      <c r="B21" s="34">
        <f>VLOOKUP(B20,A13:D18,3,FALSE)</f>
        <v/>
      </c>
    </row>
  </sheetData>
  <mergeCells count="9">
    <mergeCell ref="A1:H1"/>
    <mergeCell ref="A4:H4"/>
    <mergeCell ref="A3:H3"/>
    <mergeCell ref="A7:H7"/>
    <mergeCell ref="A2:H2"/>
    <mergeCell ref="A11:H11"/>
    <mergeCell ref="A5:H5"/>
    <mergeCell ref="A8:H8"/>
    <mergeCell ref="A6:H6"/>
  </mergeCells>
  <pageMargins left="0.75" right="0.75" top="1" bottom="1" header="0.5" footer="0.5"/>
  <pageSetup orientation="landscape" fitToHeight="0" fitToWidth="1"/>
</worksheet>
</file>

<file path=xl/worksheets/sheet3.xml><?xml version="1.0" encoding="utf-8"?>
<worksheet xmlns="http://schemas.openxmlformats.org/spreadsheetml/2006/main">
  <sheetPr>
    <tabColor rgb="0070AD47"/>
    <outlinePr summaryBelow="1" summaryRight="1"/>
    <pageSetUpPr fitToPage="1"/>
  </sheetPr>
  <dimension ref="A1:H22"/>
  <sheetViews>
    <sheetView showGridLines="0" workbookViewId="0">
      <selection activeCell="A1" sqref="A1"/>
    </sheetView>
  </sheetViews>
  <sheetFormatPr baseColWidth="8" defaultRowHeight="15"/>
  <cols>
    <col width="26" customWidth="1" min="1" max="1"/>
    <col width="24" customWidth="1" min="2" max="2"/>
    <col width="20" customWidth="1" min="3" max="3"/>
    <col width="16" customWidth="1" min="4" max="4"/>
    <col width="16" customWidth="1" min="5" max="5"/>
    <col width="16" customWidth="1" min="6" max="6"/>
    <col width="16" customWidth="1" min="7" max="7"/>
    <col width="16" customWidth="1" min="8" max="8"/>
  </cols>
  <sheetData>
    <row r="1" ht="30" customHeight="1">
      <c r="A1" s="15" t="inlineStr">
        <is>
          <t>QUESTION 02  |  Look up a product with XLOOKUP</t>
        </is>
      </c>
      <c r="B1" s="16" t="n"/>
      <c r="C1" s="16" t="n"/>
      <c r="D1" s="16" t="n"/>
      <c r="E1" s="16" t="n"/>
      <c r="F1" s="16" t="n"/>
      <c r="G1" s="16" t="n"/>
      <c r="H1" s="16" t="n"/>
    </row>
    <row r="2" ht="20" customHeight="1">
      <c r="A2" s="17" t="inlineStr">
        <is>
          <t>Level: Beginner      Functions: XLOOKUP</t>
        </is>
      </c>
      <c r="B2" s="18" t="n"/>
      <c r="C2" s="18" t="n"/>
      <c r="D2" s="18" t="n"/>
      <c r="E2" s="18" t="n"/>
      <c r="F2" s="18" t="n"/>
      <c r="G2" s="18" t="n"/>
      <c r="H2" s="18" t="n"/>
    </row>
    <row r="3" ht="18" customHeight="1">
      <c r="A3" s="19" t="inlineStr">
        <is>
          <t>CONCEPT</t>
        </is>
      </c>
      <c r="B3" s="20" t="n"/>
      <c r="C3" s="20" t="n"/>
      <c r="D3" s="20" t="n"/>
      <c r="E3" s="20" t="n"/>
      <c r="F3" s="20" t="n"/>
      <c r="G3" s="20" t="n"/>
      <c r="H3" s="20" t="n"/>
    </row>
    <row r="4" ht="64" customHeight="1">
      <c r="A4" s="21" t="inlineStr">
        <is>
          <t>XLOOKUP is Excel's most modern lookup tool: cleaner syntax than VLOOKUP, and it works in any direction. It searches for a value in one column and returns a value from a different column in the same row.
Syntax: =XLOOKUP(lookup_value, lookup_array, return_array)
• lookup_value: value to find   • lookup_array: column to search in   • return_array: column to return a value from</t>
        </is>
      </c>
      <c r="B4" s="22" t="n"/>
      <c r="C4" s="22" t="n"/>
      <c r="D4" s="22" t="n"/>
      <c r="E4" s="22" t="n"/>
      <c r="F4" s="22" t="n"/>
      <c r="G4" s="22" t="n"/>
      <c r="H4" s="22" t="n"/>
    </row>
    <row r="5" ht="18" customHeight="1">
      <c r="A5" s="19" t="inlineStr">
        <is>
          <t>YOUR TASK</t>
        </is>
      </c>
      <c r="B5" s="20" t="n"/>
      <c r="C5" s="20" t="n"/>
      <c r="D5" s="20" t="n"/>
      <c r="E5" s="20" t="n"/>
      <c r="F5" s="20" t="n"/>
      <c r="G5" s="20" t="n"/>
      <c r="H5" s="20" t="n"/>
    </row>
    <row r="6" ht="64" customHeight="1">
      <c r="A6" s="23" t="inlineStr">
        <is>
          <t>1.  Click cell B22.
2.  Write an XLOOKUP formula that finds the product code in B21 within the product code column A13:A19.
3.  Return the matching value from the category column C13:C19.
4.  Press Enter. B22 should show the category for that product code.</t>
        </is>
      </c>
      <c r="B6" s="24" t="n"/>
      <c r="C6" s="24" t="n"/>
      <c r="D6" s="24" t="n"/>
      <c r="E6" s="24" t="n"/>
      <c r="F6" s="24" t="n"/>
      <c r="G6" s="24" t="n"/>
      <c r="H6" s="24" t="n"/>
    </row>
    <row r="7" ht="18" customHeight="1">
      <c r="A7" s="25" t="inlineStr">
        <is>
          <t>ANSWER</t>
        </is>
      </c>
      <c r="B7" s="26" t="n"/>
      <c r="C7" s="26" t="n"/>
      <c r="D7" s="26" t="n"/>
      <c r="E7" s="26" t="n"/>
      <c r="F7" s="26" t="n"/>
      <c r="G7" s="26" t="n"/>
      <c r="H7" s="26" t="n"/>
    </row>
    <row r="8" ht="36" customHeight="1">
      <c r="A8" s="27" t="inlineStr">
        <is>
          <t>B22   →   =XLOOKUP(B21,A13:A19,C13:C19)
Expected result:  Office equipment</t>
        </is>
      </c>
      <c r="B8" s="28" t="n"/>
      <c r="C8" s="28" t="n"/>
      <c r="D8" s="28" t="n"/>
      <c r="E8" s="28" t="n"/>
      <c r="F8" s="28" t="n"/>
      <c r="G8" s="28" t="n"/>
      <c r="H8" s="28" t="n"/>
    </row>
    <row r="9" ht="4" customHeight="1"/>
    <row r="10" ht="6" customHeight="1"/>
    <row r="11" ht="20" customHeight="1">
      <c r="A11" s="29" t="inlineStr">
        <is>
          <t>PRACTICE SHEET  (yellow = input / lookup value,  green = your answer cell)</t>
        </is>
      </c>
      <c r="B11" s="30" t="n"/>
      <c r="C11" s="30" t="n"/>
      <c r="D11" s="30" t="n"/>
      <c r="E11" s="30" t="n"/>
      <c r="F11" s="30" t="n"/>
      <c r="G11" s="30" t="n"/>
      <c r="H11" s="30" t="n"/>
    </row>
    <row r="12">
      <c r="A12" s="31" t="inlineStr">
        <is>
          <t>Product code</t>
        </is>
      </c>
      <c r="B12" s="31" t="inlineStr">
        <is>
          <t>Product name</t>
        </is>
      </c>
      <c r="C12" s="31" t="inlineStr">
        <is>
          <t>Category</t>
        </is>
      </c>
    </row>
    <row r="13">
      <c r="A13" s="6" t="inlineStr">
        <is>
          <t>PT-102</t>
        </is>
      </c>
      <c r="B13" s="6" t="inlineStr">
        <is>
          <t>Push pins</t>
        </is>
      </c>
      <c r="C13" s="6" t="inlineStr">
        <is>
          <t>Office supplies</t>
        </is>
      </c>
    </row>
    <row r="14">
      <c r="A14" s="6" t="inlineStr">
        <is>
          <t>MK-205</t>
        </is>
      </c>
      <c r="B14" s="6" t="inlineStr">
        <is>
          <t>Dry-erase markers</t>
        </is>
      </c>
      <c r="C14" s="6" t="inlineStr">
        <is>
          <t>Office supplies</t>
        </is>
      </c>
    </row>
    <row r="15">
      <c r="A15" s="6" t="inlineStr">
        <is>
          <t>WB-401</t>
        </is>
      </c>
      <c r="B15" s="6" t="inlineStr">
        <is>
          <t>Dry-erase whiteboard</t>
        </is>
      </c>
      <c r="C15" s="6" t="inlineStr">
        <is>
          <t>Office equipment</t>
        </is>
      </c>
    </row>
    <row r="16">
      <c r="A16" s="6" t="inlineStr">
        <is>
          <t>SC-108</t>
        </is>
      </c>
      <c r="B16" s="6" t="inlineStr">
        <is>
          <t>Scissors</t>
        </is>
      </c>
      <c r="C16" s="6" t="inlineStr">
        <is>
          <t>Office supplies</t>
        </is>
      </c>
    </row>
    <row r="17">
      <c r="A17" s="6" t="inlineStr">
        <is>
          <t>FD-312</t>
        </is>
      </c>
      <c r="B17" s="6" t="inlineStr">
        <is>
          <t>File folders</t>
        </is>
      </c>
      <c r="C17" s="6" t="inlineStr">
        <is>
          <t>Office supplies</t>
        </is>
      </c>
    </row>
    <row r="18">
      <c r="A18" s="6" t="inlineStr">
        <is>
          <t>ST-220</t>
        </is>
      </c>
      <c r="B18" s="6" t="inlineStr">
        <is>
          <t>Stapler</t>
        </is>
      </c>
      <c r="C18" s="6" t="inlineStr">
        <is>
          <t>Office equipment</t>
        </is>
      </c>
    </row>
    <row r="19">
      <c r="A19" s="6" t="inlineStr">
        <is>
          <t>NB-150</t>
        </is>
      </c>
      <c r="B19" s="6" t="inlineStr">
        <is>
          <t>Spiral notebook</t>
        </is>
      </c>
      <c r="C19" s="6" t="inlineStr">
        <is>
          <t>Office supplies</t>
        </is>
      </c>
    </row>
    <row r="21">
      <c r="A21" s="32" t="inlineStr">
        <is>
          <t>Look up this product code</t>
        </is>
      </c>
      <c r="B21" s="33" t="inlineStr">
        <is>
          <t>WB-401</t>
        </is>
      </c>
    </row>
    <row r="22">
      <c r="A22" s="32" t="inlineStr">
        <is>
          <t>Category</t>
        </is>
      </c>
      <c r="B22" s="34">
        <f>_xlfn.XLOOKUP(B21,A13:A19,C13:C19)</f>
        <v/>
      </c>
    </row>
  </sheetData>
  <mergeCells count="9">
    <mergeCell ref="A1:H1"/>
    <mergeCell ref="A4:H4"/>
    <mergeCell ref="A3:H3"/>
    <mergeCell ref="A7:H7"/>
    <mergeCell ref="A2:H2"/>
    <mergeCell ref="A11:H11"/>
    <mergeCell ref="A5:H5"/>
    <mergeCell ref="A8:H8"/>
    <mergeCell ref="A6:H6"/>
  </mergeCells>
  <pageMargins left="0.75" right="0.75" top="1" bottom="1" header="0.5" footer="0.5"/>
  <pageSetup orientation="landscape" fitToHeight="0" fitToWidth="1"/>
</worksheet>
</file>

<file path=xl/worksheets/sheet4.xml><?xml version="1.0" encoding="utf-8"?>
<worksheet xmlns="http://schemas.openxmlformats.org/spreadsheetml/2006/main">
  <sheetPr>
    <tabColor rgb="0070AD47"/>
    <outlinePr summaryBelow="1" summaryRight="1"/>
    <pageSetUpPr fitToPage="1"/>
  </sheetPr>
  <dimension ref="A1:H25"/>
  <sheetViews>
    <sheetView showGridLines="0" workbookViewId="0">
      <selection activeCell="A1" sqref="A1"/>
    </sheetView>
  </sheetViews>
  <sheetFormatPr baseColWidth="8" defaultRowHeight="15"/>
  <cols>
    <col width="16" customWidth="1" min="1" max="1"/>
    <col width="36" customWidth="1" min="2" max="2"/>
    <col width="16" customWidth="1" min="3" max="3"/>
    <col width="16" customWidth="1" min="4" max="4"/>
    <col width="16" customWidth="1" min="5" max="5"/>
    <col width="16" customWidth="1" min="6" max="6"/>
    <col width="16" customWidth="1" min="7" max="7"/>
    <col width="16" customWidth="1" min="8" max="8"/>
  </cols>
  <sheetData>
    <row r="1" ht="30" customHeight="1">
      <c r="A1" s="15" t="inlineStr">
        <is>
          <t>QUESTION 03  |  XLOOKUP with exact match</t>
        </is>
      </c>
      <c r="B1" s="16" t="n"/>
      <c r="C1" s="16" t="n"/>
      <c r="D1" s="16" t="n"/>
      <c r="E1" s="16" t="n"/>
      <c r="F1" s="16" t="n"/>
      <c r="G1" s="16" t="n"/>
      <c r="H1" s="16" t="n"/>
    </row>
    <row r="2" ht="20" customHeight="1">
      <c r="A2" s="17" t="inlineStr">
        <is>
          <t>Level: Beginner      Functions: XLOOKUP</t>
        </is>
      </c>
      <c r="B2" s="18" t="n"/>
      <c r="C2" s="18" t="n"/>
      <c r="D2" s="18" t="n"/>
      <c r="E2" s="18" t="n"/>
      <c r="F2" s="18" t="n"/>
      <c r="G2" s="18" t="n"/>
      <c r="H2" s="18" t="n"/>
    </row>
    <row r="3" ht="18" customHeight="1">
      <c r="A3" s="19" t="inlineStr">
        <is>
          <t>CONCEPT</t>
        </is>
      </c>
      <c r="B3" s="20" t="n"/>
      <c r="C3" s="20" t="n"/>
      <c r="D3" s="20" t="n"/>
      <c r="E3" s="20" t="n"/>
      <c r="F3" s="20" t="n"/>
      <c r="G3" s="20" t="n"/>
      <c r="H3" s="20" t="n"/>
    </row>
    <row r="4" ht="64" customHeight="1">
      <c r="A4" s="21" t="inlineStr">
        <is>
          <t>When managing inventory, you often have a master inventory table and a shorter reorder list. XLOOKUP makes it easy to pull values from one list into the other.
Syntax: =XLOOKUP(lookup_value, lookup_array, return_array)
XLOOKUP uses EXACT match by default, so no extra argument is needed.</t>
        </is>
      </c>
      <c r="B4" s="22" t="n"/>
      <c r="C4" s="22" t="n"/>
      <c r="D4" s="22" t="n"/>
      <c r="E4" s="22" t="n"/>
      <c r="F4" s="22" t="n"/>
      <c r="G4" s="22" t="n"/>
      <c r="H4" s="22" t="n"/>
    </row>
    <row r="5" ht="18" customHeight="1">
      <c r="A5" s="19" t="inlineStr">
        <is>
          <t>YOUR TASK</t>
        </is>
      </c>
      <c r="B5" s="20" t="n"/>
      <c r="C5" s="20" t="n"/>
      <c r="D5" s="20" t="n"/>
      <c r="E5" s="20" t="n"/>
      <c r="F5" s="20" t="n"/>
      <c r="G5" s="20" t="n"/>
      <c r="H5" s="20" t="n"/>
    </row>
    <row r="6" ht="64" customHeight="1">
      <c r="A6" s="23" t="inlineStr">
        <is>
          <t>1.  Click cell C22.
2.  Write an XLOOKUP that finds the SKU from A22 in the inventory SKU column $A$13:$A$19.
3.  Return the matching value from the Qty in stock column $C$13:$C$19.
4.  Copy the formula down through C25.</t>
        </is>
      </c>
      <c r="B6" s="24" t="n"/>
      <c r="C6" s="24" t="n"/>
      <c r="D6" s="24" t="n"/>
      <c r="E6" s="24" t="n"/>
      <c r="F6" s="24" t="n"/>
      <c r="G6" s="24" t="n"/>
      <c r="H6" s="24" t="n"/>
    </row>
    <row r="7" ht="18" customHeight="1">
      <c r="A7" s="25" t="inlineStr">
        <is>
          <t>ANSWER</t>
        </is>
      </c>
      <c r="B7" s="26" t="n"/>
      <c r="C7" s="26" t="n"/>
      <c r="D7" s="26" t="n"/>
      <c r="E7" s="26" t="n"/>
      <c r="F7" s="26" t="n"/>
      <c r="G7" s="26" t="n"/>
      <c r="H7" s="26" t="n"/>
    </row>
    <row r="8" ht="36" customHeight="1">
      <c r="A8" s="27" t="inlineStr">
        <is>
          <t>C22   →   =XLOOKUP(A22,$A$13:$A$19,$C$13:$C$19)     (copy down to C14)
Expected result:  89, 342, 165, 203  (C11:C14)</t>
        </is>
      </c>
      <c r="B8" s="28" t="n"/>
      <c r="C8" s="28" t="n"/>
      <c r="D8" s="28" t="n"/>
      <c r="E8" s="28" t="n"/>
      <c r="F8" s="28" t="n"/>
      <c r="G8" s="28" t="n"/>
      <c r="H8" s="28" t="n"/>
    </row>
    <row r="9" ht="4" customHeight="1"/>
    <row r="10" ht="6" customHeight="1"/>
    <row r="11" ht="20" customHeight="1">
      <c r="A11" s="29" t="inlineStr">
        <is>
          <t>PRACTICE SHEET  (yellow = input / lookup value,  green = your answer cell)</t>
        </is>
      </c>
      <c r="B11" s="30" t="n"/>
      <c r="C11" s="30" t="n"/>
      <c r="D11" s="30" t="n"/>
      <c r="E11" s="30" t="n"/>
      <c r="F11" s="30" t="n"/>
      <c r="G11" s="30" t="n"/>
      <c r="H11" s="30" t="n"/>
    </row>
    <row r="12">
      <c r="A12" s="31" t="inlineStr">
        <is>
          <t>SKU</t>
        </is>
      </c>
      <c r="B12" s="31" t="inlineStr">
        <is>
          <t>Item name</t>
        </is>
      </c>
      <c r="C12" s="31" t="inlineStr">
        <is>
          <t>Qty in stock</t>
        </is>
      </c>
    </row>
    <row r="13">
      <c r="A13" s="6" t="inlineStr">
        <is>
          <t>SKU-1140</t>
        </is>
      </c>
      <c r="B13" s="6" t="inlineStr">
        <is>
          <t>Cable ties (100-pack)</t>
        </is>
      </c>
      <c r="C13" s="35" t="n">
        <v>342</v>
      </c>
    </row>
    <row r="14">
      <c r="A14" s="6" t="inlineStr">
        <is>
          <t>SKU-1141</t>
        </is>
      </c>
      <c r="B14" s="6" t="inlineStr">
        <is>
          <t>Zip-lock bags (50-pack)</t>
        </is>
      </c>
      <c r="C14" s="35" t="n">
        <v>128</v>
      </c>
    </row>
    <row r="15">
      <c r="A15" s="6" t="inlineStr">
        <is>
          <t>SKU-1142</t>
        </is>
      </c>
      <c r="B15" s="6" t="inlineStr">
        <is>
          <t>Stretch wrap roll</t>
        </is>
      </c>
      <c r="C15" s="35" t="n">
        <v>56</v>
      </c>
    </row>
    <row r="16">
      <c r="A16" s="6" t="inlineStr">
        <is>
          <t>SKU-1143</t>
        </is>
      </c>
      <c r="B16" s="6" t="inlineStr">
        <is>
          <t>Packing tape (36-pack)</t>
        </is>
      </c>
      <c r="C16" s="35" t="n">
        <v>89</v>
      </c>
    </row>
    <row r="17">
      <c r="A17" s="6" t="inlineStr">
        <is>
          <t>SKU-1144</t>
        </is>
      </c>
      <c r="B17" s="6" t="inlineStr">
        <is>
          <t>Bubble wrap (25m)</t>
        </is>
      </c>
      <c r="C17" s="35" t="n">
        <v>203</v>
      </c>
    </row>
    <row r="18">
      <c r="A18" s="6" t="inlineStr">
        <is>
          <t>SKU-1145</t>
        </is>
      </c>
      <c r="B18" s="6" t="inlineStr">
        <is>
          <t>Label printer paper (500 sheets)</t>
        </is>
      </c>
      <c r="C18" s="35" t="n">
        <v>74</v>
      </c>
    </row>
    <row r="19">
      <c r="A19" s="6" t="inlineStr">
        <is>
          <t>SKU-1146</t>
        </is>
      </c>
      <c r="B19" s="6" t="inlineStr">
        <is>
          <t>Box cutter</t>
        </is>
      </c>
      <c r="C19" s="35" t="n">
        <v>165</v>
      </c>
    </row>
    <row r="20">
      <c r="A20" s="32" t="inlineStr">
        <is>
          <t>Reorder list</t>
        </is>
      </c>
    </row>
    <row r="21">
      <c r="A21" s="31" t="inlineStr">
        <is>
          <t>SKU</t>
        </is>
      </c>
      <c r="B21" s="31" t="inlineStr">
        <is>
          <t>Item name</t>
        </is>
      </c>
      <c r="C21" s="31" t="inlineStr">
        <is>
          <t>Qty in stock</t>
        </is>
      </c>
    </row>
    <row r="22">
      <c r="A22" s="6" t="inlineStr">
        <is>
          <t>SKU-1143</t>
        </is>
      </c>
      <c r="B22" s="6" t="inlineStr">
        <is>
          <t>Packing tape (36-pack)</t>
        </is>
      </c>
      <c r="C22" s="34">
        <f>_xlfn.XLOOKUP(A22,$A$13:$A$19,$C$13:$C$19)</f>
        <v/>
      </c>
    </row>
    <row r="23">
      <c r="A23" s="6" t="inlineStr">
        <is>
          <t>SKU-1140</t>
        </is>
      </c>
      <c r="B23" s="6" t="inlineStr">
        <is>
          <t>Cable ties (100-pack)</t>
        </is>
      </c>
      <c r="C23" s="34">
        <f>_xlfn.XLOOKUP(A23,$A$13:$A$19,$C$13:$C$19)</f>
        <v/>
      </c>
    </row>
    <row r="24">
      <c r="A24" s="6" t="inlineStr">
        <is>
          <t>SKU-1146</t>
        </is>
      </c>
      <c r="B24" s="6" t="inlineStr">
        <is>
          <t>Box cutter</t>
        </is>
      </c>
      <c r="C24" s="34">
        <f>_xlfn.XLOOKUP(A24,$A$13:$A$19,$C$13:$C$19)</f>
        <v/>
      </c>
    </row>
    <row r="25">
      <c r="A25" s="6" t="inlineStr">
        <is>
          <t>SKU-1144</t>
        </is>
      </c>
      <c r="B25" s="6" t="inlineStr">
        <is>
          <t>Bubble wrap (25m)</t>
        </is>
      </c>
      <c r="C25" s="34">
        <f>_xlfn.XLOOKUP(A25,$A$13:$A$19,$C$13:$C$19)</f>
        <v/>
      </c>
    </row>
  </sheetData>
  <mergeCells count="9">
    <mergeCell ref="A1:H1"/>
    <mergeCell ref="A4:H4"/>
    <mergeCell ref="A3:H3"/>
    <mergeCell ref="A7:H7"/>
    <mergeCell ref="A2:H2"/>
    <mergeCell ref="A11:H11"/>
    <mergeCell ref="A5:H5"/>
    <mergeCell ref="A8:H8"/>
    <mergeCell ref="A6:H6"/>
  </mergeCells>
  <pageMargins left="0.75" right="0.75" top="1" bottom="1" header="0.5" footer="0.5"/>
  <pageSetup orientation="landscape" fitToHeight="0" fitToWidth="1"/>
</worksheet>
</file>

<file path=xl/worksheets/sheet5.xml><?xml version="1.0" encoding="utf-8"?>
<worksheet xmlns="http://schemas.openxmlformats.org/spreadsheetml/2006/main">
  <sheetPr>
    <tabColor rgb="00ED7D31"/>
    <outlinePr summaryBelow="1" summaryRight="1"/>
    <pageSetUpPr fitToPage="1"/>
  </sheetPr>
  <dimension ref="A1:H19"/>
  <sheetViews>
    <sheetView showGridLines="0" workbookViewId="0">
      <selection activeCell="A1" sqref="A1"/>
    </sheetView>
  </sheetViews>
  <sheetFormatPr baseColWidth="8" defaultRowHeight="15"/>
  <cols>
    <col width="20" customWidth="1" min="1" max="1"/>
    <col width="16" customWidth="1" min="2" max="2"/>
    <col width="16" customWidth="1" min="3" max="3"/>
    <col width="12" customWidth="1" min="4" max="4"/>
    <col width="16" customWidth="1" min="5" max="5"/>
    <col width="16" customWidth="1" min="6" max="6"/>
    <col width="16" customWidth="1" min="7" max="7"/>
    <col width="16" customWidth="1" min="8" max="8"/>
  </cols>
  <sheetData>
    <row r="1" ht="30" customHeight="1">
      <c r="A1" s="15" t="inlineStr">
        <is>
          <t>QUESTION 04  |  XLOOKUP left lookup</t>
        </is>
      </c>
      <c r="B1" s="16" t="n"/>
      <c r="C1" s="16" t="n"/>
      <c r="D1" s="16" t="n"/>
      <c r="E1" s="16" t="n"/>
      <c r="F1" s="16" t="n"/>
      <c r="G1" s="16" t="n"/>
      <c r="H1" s="16" t="n"/>
    </row>
    <row r="2" ht="20" customHeight="1">
      <c r="A2" s="17" t="inlineStr">
        <is>
          <t>Level: Intermediate      Functions: XLOOKUP</t>
        </is>
      </c>
      <c r="B2" s="18" t="n"/>
      <c r="C2" s="18" t="n"/>
      <c r="D2" s="18" t="n"/>
      <c r="E2" s="18" t="n"/>
      <c r="F2" s="18" t="n"/>
      <c r="G2" s="18" t="n"/>
      <c r="H2" s="18" t="n"/>
    </row>
    <row r="3" ht="18" customHeight="1">
      <c r="A3" s="19" t="inlineStr">
        <is>
          <t>CONCEPT</t>
        </is>
      </c>
      <c r="B3" s="20" t="n"/>
      <c r="C3" s="20" t="n"/>
      <c r="D3" s="20" t="n"/>
      <c r="E3" s="20" t="n"/>
      <c r="F3" s="20" t="n"/>
      <c r="G3" s="20" t="n"/>
      <c r="H3" s="20" t="n"/>
    </row>
    <row r="4" ht="50" customHeight="1">
      <c r="A4" s="21" t="inlineStr">
        <is>
          <t>Sometimes the value you want is to the LEFT of the value you have. VLOOKUP cannot return left, but XLOOKUP can, because you pick the lookup column and the return column separately.
Syntax: =XLOOKUP(lookup_value, lookup_array, return_array, "if_not_found")</t>
        </is>
      </c>
      <c r="B4" s="22" t="n"/>
      <c r="C4" s="22" t="n"/>
      <c r="D4" s="22" t="n"/>
      <c r="E4" s="22" t="n"/>
      <c r="F4" s="22" t="n"/>
      <c r="G4" s="22" t="n"/>
      <c r="H4" s="22" t="n"/>
    </row>
    <row r="5" ht="18" customHeight="1">
      <c r="A5" s="19" t="inlineStr">
        <is>
          <t>YOUR TASK</t>
        </is>
      </c>
      <c r="B5" s="20" t="n"/>
      <c r="C5" s="20" t="n"/>
      <c r="D5" s="20" t="n"/>
      <c r="E5" s="20" t="n"/>
      <c r="F5" s="20" t="n"/>
      <c r="G5" s="20" t="n"/>
      <c r="H5" s="20" t="n"/>
    </row>
    <row r="6" ht="50" customHeight="1">
      <c r="A6" s="23" t="inlineStr">
        <is>
          <t>1.  In cell B19, return the SKU for the product in B18 (product name is in column B, SKU is in column A).
2.  If there is no match, return Not found.
Tip: Lock the table ranges with $ so the formula stays stable as you edit.</t>
        </is>
      </c>
      <c r="B6" s="24" t="n"/>
      <c r="C6" s="24" t="n"/>
      <c r="D6" s="24" t="n"/>
      <c r="E6" s="24" t="n"/>
      <c r="F6" s="24" t="n"/>
      <c r="G6" s="24" t="n"/>
      <c r="H6" s="24" t="n"/>
    </row>
    <row r="7" ht="18" customHeight="1">
      <c r="A7" s="25" t="inlineStr">
        <is>
          <t>ANSWER</t>
        </is>
      </c>
      <c r="B7" s="26" t="n"/>
      <c r="C7" s="26" t="n"/>
      <c r="D7" s="26" t="n"/>
      <c r="E7" s="26" t="n"/>
      <c r="F7" s="26" t="n"/>
      <c r="G7" s="26" t="n"/>
      <c r="H7" s="26" t="n"/>
    </row>
    <row r="8" ht="36" customHeight="1">
      <c r="A8" s="27" t="inlineStr">
        <is>
          <t>B19   →   =XLOOKUP(B18,$B$13:$B$16,$A$13:$A$16,"Not found")
Expected result:  SK-200  (type any unknown product in B7 → Not found)</t>
        </is>
      </c>
      <c r="B8" s="28" t="n"/>
      <c r="C8" s="28" t="n"/>
      <c r="D8" s="28" t="n"/>
      <c r="E8" s="28" t="n"/>
      <c r="F8" s="28" t="n"/>
      <c r="G8" s="28" t="n"/>
      <c r="H8" s="28" t="n"/>
    </row>
    <row r="9" ht="22" customHeight="1">
      <c r="A9" s="36" t="inlineStr">
        <is>
          <t>Note:  The PDF answer was =XLOOKUP(B7,B2:B5,A2:A5); I added the "Not found" argument because the task asks for it.</t>
        </is>
      </c>
      <c r="B9" s="37" t="n"/>
      <c r="C9" s="37" t="n"/>
      <c r="D9" s="37" t="n"/>
      <c r="E9" s="37" t="n"/>
      <c r="F9" s="37" t="n"/>
      <c r="G9" s="37" t="n"/>
      <c r="H9" s="37" t="n"/>
    </row>
    <row r="10" ht="6" customHeight="1"/>
    <row r="11" ht="20" customHeight="1">
      <c r="A11" s="29" t="inlineStr">
        <is>
          <t>PRACTICE SHEET  (yellow = input / lookup value,  green = your answer cell)</t>
        </is>
      </c>
      <c r="B11" s="30" t="n"/>
      <c r="C11" s="30" t="n"/>
      <c r="D11" s="30" t="n"/>
      <c r="E11" s="30" t="n"/>
      <c r="F11" s="30" t="n"/>
      <c r="G11" s="30" t="n"/>
      <c r="H11" s="30" t="n"/>
    </row>
    <row r="12">
      <c r="A12" s="31" t="inlineStr">
        <is>
          <t>SKU</t>
        </is>
      </c>
      <c r="B12" s="31" t="inlineStr">
        <is>
          <t>Product</t>
        </is>
      </c>
      <c r="C12" s="31" t="inlineStr">
        <is>
          <t>Category</t>
        </is>
      </c>
      <c r="D12" s="31" t="inlineStr">
        <is>
          <t>Price</t>
        </is>
      </c>
    </row>
    <row r="13">
      <c r="A13" s="6" t="inlineStr">
        <is>
          <t>SK-100</t>
        </is>
      </c>
      <c r="B13" s="6" t="inlineStr">
        <is>
          <t>Travel Mug</t>
        </is>
      </c>
      <c r="C13" s="6" t="inlineStr">
        <is>
          <t>Drinkware</t>
        </is>
      </c>
      <c r="D13" s="35" t="n">
        <v>12</v>
      </c>
    </row>
    <row r="14">
      <c r="A14" s="6" t="inlineStr">
        <is>
          <t>SK-200</t>
        </is>
      </c>
      <c r="B14" s="6" t="inlineStr">
        <is>
          <t>Desk Mat</t>
        </is>
      </c>
      <c r="C14" s="6" t="inlineStr">
        <is>
          <t>Office</t>
        </is>
      </c>
      <c r="D14" s="35" t="n">
        <v>18</v>
      </c>
    </row>
    <row r="15">
      <c r="A15" s="6" t="inlineStr">
        <is>
          <t>SK-300</t>
        </is>
      </c>
      <c r="B15" s="6" t="inlineStr">
        <is>
          <t>USB Hub</t>
        </is>
      </c>
      <c r="C15" s="6" t="inlineStr">
        <is>
          <t>Electronics</t>
        </is>
      </c>
      <c r="D15" s="35" t="n">
        <v>24</v>
      </c>
    </row>
    <row r="16">
      <c r="A16" s="6" t="inlineStr">
        <is>
          <t>SK-400</t>
        </is>
      </c>
      <c r="B16" s="6" t="inlineStr">
        <is>
          <t>Laptop Stand</t>
        </is>
      </c>
      <c r="C16" s="6" t="inlineStr">
        <is>
          <t>Office</t>
        </is>
      </c>
      <c r="D16" s="35" t="n">
        <v>35</v>
      </c>
    </row>
    <row r="18">
      <c r="A18" s="32" t="inlineStr">
        <is>
          <t>Product to find:</t>
        </is>
      </c>
      <c r="B18" s="33" t="inlineStr">
        <is>
          <t>Desk Mat</t>
        </is>
      </c>
    </row>
    <row r="19">
      <c r="A19" s="32" t="inlineStr">
        <is>
          <t>SKU result:</t>
        </is>
      </c>
      <c r="B19" s="34">
        <f>_xlfn.XLOOKUP(B18,$B$13:$B$16,$A$13:$A$16,"Not found")</f>
        <v/>
      </c>
    </row>
  </sheetData>
  <mergeCells count="10">
    <mergeCell ref="A1:H1"/>
    <mergeCell ref="A4:H4"/>
    <mergeCell ref="A9:H9"/>
    <mergeCell ref="A3:H3"/>
    <mergeCell ref="A7:H7"/>
    <mergeCell ref="A2:H2"/>
    <mergeCell ref="A11:H11"/>
    <mergeCell ref="A5:H5"/>
    <mergeCell ref="A8:H8"/>
    <mergeCell ref="A6:H6"/>
  </mergeCells>
  <pageMargins left="0.75" right="0.75" top="1" bottom="1" header="0.5" footer="0.5"/>
  <pageSetup orientation="landscape" fitToHeight="0" fitToWidth="1"/>
</worksheet>
</file>

<file path=xl/worksheets/sheet6.xml><?xml version="1.0" encoding="utf-8"?>
<worksheet xmlns="http://schemas.openxmlformats.org/spreadsheetml/2006/main">
  <sheetPr>
    <tabColor rgb="00ED7D31"/>
    <outlinePr summaryBelow="1" summaryRight="1"/>
    <pageSetUpPr fitToPage="1"/>
  </sheetPr>
  <dimension ref="A1:H19"/>
  <sheetViews>
    <sheetView showGridLines="0" workbookViewId="0">
      <selection activeCell="A1" sqref="A1"/>
    </sheetView>
  </sheetViews>
  <sheetFormatPr baseColWidth="8" defaultRowHeight="15"/>
  <cols>
    <col width="12" customWidth="1" min="1" max="1"/>
    <col width="28" customWidth="1" min="2" max="2"/>
    <col width="14" customWidth="1" min="3" max="3"/>
    <col width="12" customWidth="1" min="4" max="4"/>
    <col width="4" customWidth="1" min="5" max="5"/>
    <col width="16" customWidth="1" min="6" max="6"/>
    <col width="28" customWidth="1" min="7" max="7"/>
    <col width="16" customWidth="1" min="8" max="8"/>
  </cols>
  <sheetData>
    <row r="1" ht="30" customHeight="1">
      <c r="A1" s="15" t="inlineStr">
        <is>
          <t>QUESTION 05  |  XLOOKUP with a default value</t>
        </is>
      </c>
      <c r="B1" s="16" t="n"/>
      <c r="C1" s="16" t="n"/>
      <c r="D1" s="16" t="n"/>
      <c r="E1" s="16" t="n"/>
      <c r="F1" s="16" t="n"/>
      <c r="G1" s="16" t="n"/>
      <c r="H1" s="16" t="n"/>
    </row>
    <row r="2" ht="20" customHeight="1">
      <c r="A2" s="17" t="inlineStr">
        <is>
          <t>Level: Intermediate      Functions: XLOOKUP, if_not_found</t>
        </is>
      </c>
      <c r="B2" s="18" t="n"/>
      <c r="C2" s="18" t="n"/>
      <c r="D2" s="18" t="n"/>
      <c r="E2" s="18" t="n"/>
      <c r="F2" s="18" t="n"/>
      <c r="G2" s="18" t="n"/>
      <c r="H2" s="18" t="n"/>
    </row>
    <row r="3" ht="18" customHeight="1">
      <c r="A3" s="19" t="inlineStr">
        <is>
          <t>CONCEPT</t>
        </is>
      </c>
      <c r="B3" s="20" t="n"/>
      <c r="C3" s="20" t="n"/>
      <c r="D3" s="20" t="n"/>
      <c r="E3" s="20" t="n"/>
      <c r="F3" s="20" t="n"/>
      <c r="G3" s="20" t="n"/>
      <c r="H3" s="20" t="n"/>
    </row>
    <row r="4" ht="50" customHeight="1">
      <c r="A4" s="21" t="inlineStr">
        <is>
          <t>In inventory datasets you often get SKU lists that include old or discontinued items. Instead of showing #N/A, XLOOKUP can return a clean fallback using its optional 4th argument.
Syntax: =XLOOKUP(lookup_value, lookup_array, return_array, "if_not_found")</t>
        </is>
      </c>
      <c r="B4" s="22" t="n"/>
      <c r="C4" s="22" t="n"/>
      <c r="D4" s="22" t="n"/>
      <c r="E4" s="22" t="n"/>
      <c r="F4" s="22" t="n"/>
      <c r="G4" s="22" t="n"/>
      <c r="H4" s="22" t="n"/>
    </row>
    <row r="5" ht="18" customHeight="1">
      <c r="A5" s="19" t="inlineStr">
        <is>
          <t>YOUR TASK</t>
        </is>
      </c>
      <c r="B5" s="20" t="n"/>
      <c r="C5" s="20" t="n"/>
      <c r="D5" s="20" t="n"/>
      <c r="E5" s="20" t="n"/>
      <c r="F5" s="20" t="n"/>
      <c r="G5" s="20" t="n"/>
      <c r="H5" s="20" t="n"/>
    </row>
    <row r="6" ht="78" customHeight="1">
      <c r="A6" s="23" t="inlineStr">
        <is>
          <t>1.  You have an item master list in A12:D19 and a restock list of SKUs in F13:F19.
2.  In cell G13, use XLOOKUP to return the Product name for the SKU in F13.
3.  If the SKU isn't in the item master list, return Discontinued (not an error).
4.  Fill the formula down through G19.
Tip: Lock the lookup ranges (with $) so the formula copies down cleanly.</t>
        </is>
      </c>
      <c r="B6" s="24" t="n"/>
      <c r="C6" s="24" t="n"/>
      <c r="D6" s="24" t="n"/>
      <c r="E6" s="24" t="n"/>
      <c r="F6" s="24" t="n"/>
      <c r="G6" s="24" t="n"/>
      <c r="H6" s="24" t="n"/>
    </row>
    <row r="7" ht="18" customHeight="1">
      <c r="A7" s="25" t="inlineStr">
        <is>
          <t>ANSWER</t>
        </is>
      </c>
      <c r="B7" s="26" t="n"/>
      <c r="C7" s="26" t="n"/>
      <c r="D7" s="26" t="n"/>
      <c r="E7" s="26" t="n"/>
      <c r="F7" s="26" t="n"/>
      <c r="G7" s="26" t="n"/>
      <c r="H7" s="26" t="n"/>
    </row>
    <row r="8" ht="50" customHeight="1">
      <c r="A8" s="27" t="inlineStr">
        <is>
          <t>G13   →   =XLOOKUP(F13,$A$13:$A$19,$B$13:$B$19,"Discontinued")     (fill down to G8)
Expected result:  Box Cutter | Discontinued | Bubble Wrap Roll | Discontinued | Safety Gloves (L) | Discontinued | Warehouse Marking Tape</t>
        </is>
      </c>
      <c r="B8" s="28" t="n"/>
      <c r="C8" s="28" t="n"/>
      <c r="D8" s="28" t="n"/>
      <c r="E8" s="28" t="n"/>
      <c r="F8" s="28" t="n"/>
      <c r="G8" s="28" t="n"/>
      <c r="H8" s="28" t="n"/>
    </row>
    <row r="9" ht="36" customHeight="1">
      <c r="A9" s="36" t="inlineStr">
        <is>
          <t>Note:  In the PDF text the master SKUs lost their hyphen (NW1001). I used NW-1001 so they match the restock list, as in the PDF's final answer table.</t>
        </is>
      </c>
      <c r="B9" s="37" t="n"/>
      <c r="C9" s="37" t="n"/>
      <c r="D9" s="37" t="n"/>
      <c r="E9" s="37" t="n"/>
      <c r="F9" s="37" t="n"/>
      <c r="G9" s="37" t="n"/>
      <c r="H9" s="37" t="n"/>
    </row>
    <row r="10" ht="6" customHeight="1"/>
    <row r="11" ht="20" customHeight="1">
      <c r="A11" s="29" t="inlineStr">
        <is>
          <t>PRACTICE SHEET  (yellow = input / lookup value,  green = your answer cell)</t>
        </is>
      </c>
      <c r="B11" s="30" t="n"/>
      <c r="C11" s="30" t="n"/>
      <c r="D11" s="30" t="n"/>
      <c r="E11" s="30" t="n"/>
      <c r="F11" s="30" t="n"/>
      <c r="G11" s="30" t="n"/>
      <c r="H11" s="30" t="n"/>
    </row>
    <row r="12">
      <c r="A12" s="31" t="inlineStr">
        <is>
          <t>SKU</t>
        </is>
      </c>
      <c r="B12" s="31" t="inlineStr">
        <is>
          <t>Product</t>
        </is>
      </c>
      <c r="C12" s="31" t="inlineStr">
        <is>
          <t>Category</t>
        </is>
      </c>
      <c r="D12" s="31" t="inlineStr">
        <is>
          <t>Unit cost</t>
        </is>
      </c>
      <c r="F12" s="31" t="inlineStr">
        <is>
          <t>Restock SKU</t>
        </is>
      </c>
      <c r="G12" s="31" t="inlineStr">
        <is>
          <t>Product</t>
        </is>
      </c>
    </row>
    <row r="13">
      <c r="A13" s="6" t="inlineStr">
        <is>
          <t>NW-1001</t>
        </is>
      </c>
      <c r="B13" s="6" t="inlineStr">
        <is>
          <t>Box Cutter</t>
        </is>
      </c>
      <c r="C13" s="6" t="inlineStr">
        <is>
          <t>Tools</t>
        </is>
      </c>
      <c r="D13" s="38" t="n">
        <v>6.25</v>
      </c>
      <c r="F13" s="6" t="inlineStr">
        <is>
          <t>NW-1001</t>
        </is>
      </c>
      <c r="G13" s="34">
        <f>_xlfn.XLOOKUP(F13,$A$13:$A$19,$B$13:$B$19,"Discontinued")</f>
        <v/>
      </c>
    </row>
    <row r="14">
      <c r="A14" s="6" t="inlineStr">
        <is>
          <t>NW-1002</t>
        </is>
      </c>
      <c r="B14" s="6" t="inlineStr">
        <is>
          <t>Packing Tape (48mm)</t>
        </is>
      </c>
      <c r="C14" s="6" t="inlineStr">
        <is>
          <t>Packaging</t>
        </is>
      </c>
      <c r="D14" s="38" t="n">
        <v>3.4</v>
      </c>
      <c r="F14" s="6" t="inlineStr">
        <is>
          <t>NW-1008</t>
        </is>
      </c>
      <c r="G14" s="34">
        <f>_xlfn.XLOOKUP(F14,$A$13:$A$19,$B$13:$B$19,"Discontinued")</f>
        <v/>
      </c>
    </row>
    <row r="15">
      <c r="A15" s="6" t="inlineStr">
        <is>
          <t>NW-1003</t>
        </is>
      </c>
      <c r="B15" s="6" t="inlineStr">
        <is>
          <t>Bubble Wrap Roll</t>
        </is>
      </c>
      <c r="C15" s="6" t="inlineStr">
        <is>
          <t>Packaging</t>
        </is>
      </c>
      <c r="D15" s="38" t="n">
        <v>19.99</v>
      </c>
      <c r="F15" s="6" t="inlineStr">
        <is>
          <t>NW-1003</t>
        </is>
      </c>
      <c r="G15" s="34">
        <f>_xlfn.XLOOKUP(F15,$A$13:$A$19,$B$13:$B$19,"Discontinued")</f>
        <v/>
      </c>
    </row>
    <row r="16">
      <c r="A16" s="6" t="inlineStr">
        <is>
          <t>NW-1004</t>
        </is>
      </c>
      <c r="B16" s="6" t="inlineStr">
        <is>
          <t>Pallet Wrap</t>
        </is>
      </c>
      <c r="C16" s="6" t="inlineStr">
        <is>
          <t>Packaging</t>
        </is>
      </c>
      <c r="D16" s="38" t="n">
        <v>14.5</v>
      </c>
      <c r="F16" s="6" t="inlineStr">
        <is>
          <t>NW-1012</t>
        </is>
      </c>
      <c r="G16" s="34">
        <f>_xlfn.XLOOKUP(F16,$A$13:$A$19,$B$13:$B$19,"Discontinued")</f>
        <v/>
      </c>
    </row>
    <row r="17">
      <c r="A17" s="6" t="inlineStr">
        <is>
          <t>NW-1005</t>
        </is>
      </c>
      <c r="B17" s="6" t="inlineStr">
        <is>
          <t>Safety Gloves (L)</t>
        </is>
      </c>
      <c r="C17" s="6" t="inlineStr">
        <is>
          <t>Safety</t>
        </is>
      </c>
      <c r="D17" s="38" t="n">
        <v>8.75</v>
      </c>
      <c r="F17" s="6" t="inlineStr">
        <is>
          <t>NW-1005</t>
        </is>
      </c>
      <c r="G17" s="34">
        <f>_xlfn.XLOOKUP(F17,$A$13:$A$19,$B$13:$B$19,"Discontinued")</f>
        <v/>
      </c>
    </row>
    <row r="18">
      <c r="A18" s="6" t="inlineStr">
        <is>
          <t>NW-1006</t>
        </is>
      </c>
      <c r="B18" s="6" t="inlineStr">
        <is>
          <t>Label Printer Paper</t>
        </is>
      </c>
      <c r="C18" s="6" t="inlineStr">
        <is>
          <t>Office</t>
        </is>
      </c>
      <c r="D18" s="38" t="n">
        <v>27.5</v>
      </c>
      <c r="F18" s="6" t="inlineStr">
        <is>
          <t>NW-9999</t>
        </is>
      </c>
      <c r="G18" s="34">
        <f>_xlfn.XLOOKUP(F18,$A$13:$A$19,$B$13:$B$19,"Discontinued")</f>
        <v/>
      </c>
    </row>
    <row r="19">
      <c r="A19" s="6" t="inlineStr">
        <is>
          <t>NW-1007</t>
        </is>
      </c>
      <c r="B19" s="6" t="inlineStr">
        <is>
          <t>Warehouse Marking Tape</t>
        </is>
      </c>
      <c r="C19" s="6" t="inlineStr">
        <is>
          <t>Safety</t>
        </is>
      </c>
      <c r="D19" s="38" t="n">
        <v>12</v>
      </c>
      <c r="F19" s="6" t="inlineStr">
        <is>
          <t>NW-1007</t>
        </is>
      </c>
      <c r="G19" s="34">
        <f>_xlfn.XLOOKUP(F19,$A$13:$A$19,$B$13:$B$19,"Discontinued")</f>
        <v/>
      </c>
    </row>
  </sheetData>
  <mergeCells count="10">
    <mergeCell ref="A1:H1"/>
    <mergeCell ref="A4:H4"/>
    <mergeCell ref="A9:H9"/>
    <mergeCell ref="A3:H3"/>
    <mergeCell ref="A7:H7"/>
    <mergeCell ref="A2:H2"/>
    <mergeCell ref="A11:H11"/>
    <mergeCell ref="A5:H5"/>
    <mergeCell ref="A8:H8"/>
    <mergeCell ref="A6:H6"/>
  </mergeCells>
  <pageMargins left="0.75" right="0.75" top="1" bottom="1" header="0.5" footer="0.5"/>
  <pageSetup orientation="landscape" fitToHeight="0" fitToWidth="1"/>
</worksheet>
</file>

<file path=xl/worksheets/sheet7.xml><?xml version="1.0" encoding="utf-8"?>
<worksheet xmlns="http://schemas.openxmlformats.org/spreadsheetml/2006/main">
  <sheetPr>
    <tabColor rgb="00ED7D31"/>
    <outlinePr summaryBelow="1" summaryRight="1"/>
    <pageSetUpPr fitToPage="1"/>
  </sheetPr>
  <dimension ref="A1:H25"/>
  <sheetViews>
    <sheetView showGridLines="0" workbookViewId="0">
      <selection activeCell="A1" sqref="A1"/>
    </sheetView>
  </sheetViews>
  <sheetFormatPr baseColWidth="8" defaultRowHeight="15"/>
  <cols>
    <col width="18" customWidth="1" min="1" max="1"/>
    <col width="32" customWidth="1" min="2" max="2"/>
    <col width="20" customWidth="1" min="3" max="3"/>
    <col width="14" customWidth="1" min="4" max="4"/>
    <col width="16" customWidth="1" min="5" max="5"/>
    <col width="16" customWidth="1" min="6" max="6"/>
    <col width="16" customWidth="1" min="7" max="7"/>
    <col width="16" customWidth="1" min="8" max="8"/>
  </cols>
  <sheetData>
    <row r="1" ht="30" customHeight="1">
      <c r="A1" s="15" t="inlineStr">
        <is>
          <t>QUESTION 06  |  XLOOKUP with wildcard search</t>
        </is>
      </c>
      <c r="B1" s="16" t="n"/>
      <c r="C1" s="16" t="n"/>
      <c r="D1" s="16" t="n"/>
      <c r="E1" s="16" t="n"/>
      <c r="F1" s="16" t="n"/>
      <c r="G1" s="16" t="n"/>
      <c r="H1" s="16" t="n"/>
    </row>
    <row r="2" ht="20" customHeight="1">
      <c r="A2" s="17" t="inlineStr">
        <is>
          <t>Level: Intermediate      Functions: XLOOKUP, wildcard (match_mode 2)</t>
        </is>
      </c>
      <c r="B2" s="18" t="n"/>
      <c r="C2" s="18" t="n"/>
      <c r="D2" s="18" t="n"/>
      <c r="E2" s="18" t="n"/>
      <c r="F2" s="18" t="n"/>
      <c r="G2" s="18" t="n"/>
      <c r="H2" s="18" t="n"/>
    </row>
    <row r="3" ht="18" customHeight="1">
      <c r="A3" s="19" t="inlineStr">
        <is>
          <t>CONCEPT</t>
        </is>
      </c>
      <c r="B3" s="20" t="n"/>
      <c r="C3" s="20" t="n"/>
      <c r="D3" s="20" t="n"/>
      <c r="E3" s="20" t="n"/>
      <c r="F3" s="20" t="n"/>
      <c r="G3" s="20" t="n"/>
      <c r="H3" s="20" t="n"/>
    </row>
    <row r="4" ht="64" customHeight="1">
      <c r="A4" s="21" t="inlineStr">
        <is>
          <t>Product names are not always entered consistently; sometimes you only know part of a name. XLOOKUP supports wildcards when match_mode = 2. The asterisk (*) means "any sequence of characters".
Syntax: =XLOOKUP(lookup_value, lookup_array, return_array, [if_not_found], [match_mode])
Build the lookup value by adding * before and after the search term, then use 2 as the match mode.</t>
        </is>
      </c>
      <c r="B4" s="22" t="n"/>
      <c r="C4" s="22" t="n"/>
      <c r="D4" s="22" t="n"/>
      <c r="E4" s="22" t="n"/>
      <c r="F4" s="22" t="n"/>
      <c r="G4" s="22" t="n"/>
      <c r="H4" s="22" t="n"/>
    </row>
    <row r="5" ht="18" customHeight="1">
      <c r="A5" s="19" t="inlineStr">
        <is>
          <t>YOUR TASK</t>
        </is>
      </c>
      <c r="B5" s="20" t="n"/>
      <c r="C5" s="20" t="n"/>
      <c r="D5" s="20" t="n"/>
      <c r="E5" s="20" t="n"/>
      <c r="F5" s="20" t="n"/>
      <c r="G5" s="20" t="n"/>
      <c r="H5" s="20" t="n"/>
    </row>
    <row r="6" ht="64" customHeight="1">
      <c r="A6" s="23" t="inlineStr">
        <is>
          <t>1.  In B24, use XLOOKUP to return the product name in the catalog that contains the search term in B22.
2.  In B25, use XLOOKUP again to return the unit price for that same matched product.
3.  In both formulas, build the lookup value yourself: "*"&amp;B11&amp;"*".
4.  Search within the product name column and set match_mode to 2 (wildcard).</t>
        </is>
      </c>
      <c r="B6" s="24" t="n"/>
      <c r="C6" s="24" t="n"/>
      <c r="D6" s="24" t="n"/>
      <c r="E6" s="24" t="n"/>
      <c r="F6" s="24" t="n"/>
      <c r="G6" s="24" t="n"/>
      <c r="H6" s="24" t="n"/>
    </row>
    <row r="7" ht="18" customHeight="1">
      <c r="A7" s="25" t="inlineStr">
        <is>
          <t>ANSWER</t>
        </is>
      </c>
      <c r="B7" s="26" t="n"/>
      <c r="C7" s="26" t="n"/>
      <c r="D7" s="26" t="n"/>
      <c r="E7" s="26" t="n"/>
      <c r="F7" s="26" t="n"/>
      <c r="G7" s="26" t="n"/>
      <c r="H7" s="26" t="n"/>
    </row>
    <row r="8" ht="50" customHeight="1">
      <c r="A8" s="27" t="inlineStr">
        <is>
          <t>B24   →   =XLOOKUP("*"&amp;B22&amp;"*",$B$13:$B$20,$B$13:$B$20,,2)
B25   →   =XLOOKUP("*"&amp;B22&amp;"*",$B$13:$B$20,$D$13:$D$20,,2)
Expected result:  Citrus Surface Cleaner  |  12.60</t>
        </is>
      </c>
      <c r="B8" s="28" t="n"/>
      <c r="C8" s="28" t="n"/>
      <c r="D8" s="28" t="n"/>
      <c r="E8" s="28" t="n"/>
      <c r="F8" s="28" t="n"/>
      <c r="G8" s="28" t="n"/>
      <c r="H8" s="28" t="n"/>
    </row>
    <row r="9" ht="4" customHeight="1"/>
    <row r="10" ht="6" customHeight="1"/>
    <row r="11" ht="20" customHeight="1">
      <c r="A11" s="29" t="inlineStr">
        <is>
          <t>PRACTICE SHEET  (yellow = input / lookup value,  green = your answer cell)</t>
        </is>
      </c>
      <c r="B11" s="30" t="n"/>
      <c r="C11" s="30" t="n"/>
      <c r="D11" s="30" t="n"/>
      <c r="E11" s="30" t="n"/>
      <c r="F11" s="30" t="n"/>
      <c r="G11" s="30" t="n"/>
      <c r="H11" s="30" t="n"/>
    </row>
    <row r="12">
      <c r="A12" s="31" t="inlineStr">
        <is>
          <t>Product code</t>
        </is>
      </c>
      <c r="B12" s="31" t="inlineStr">
        <is>
          <t>Product name</t>
        </is>
      </c>
      <c r="C12" s="31" t="inlineStr">
        <is>
          <t>Category</t>
        </is>
      </c>
      <c r="D12" s="31" t="inlineStr">
        <is>
          <t>Unit price</t>
        </is>
      </c>
    </row>
    <row r="13">
      <c r="A13" s="6" t="inlineStr">
        <is>
          <t>PK-101</t>
        </is>
      </c>
      <c r="B13" s="6" t="inlineStr">
        <is>
          <t>Pallet Wrap Film</t>
        </is>
      </c>
      <c r="C13" s="6" t="inlineStr">
        <is>
          <t>Packaging</t>
        </is>
      </c>
      <c r="D13" s="38" t="n">
        <v>22.4</v>
      </c>
    </row>
    <row r="14">
      <c r="A14" s="6" t="inlineStr">
        <is>
          <t>CL-204</t>
        </is>
      </c>
      <c r="B14" s="6" t="inlineStr">
        <is>
          <t>Industrial Cleaner Pro</t>
        </is>
      </c>
      <c r="C14" s="6" t="inlineStr">
        <is>
          <t>Cleaning supplies</t>
        </is>
      </c>
      <c r="D14" s="38" t="n">
        <v>18.5</v>
      </c>
    </row>
    <row r="15">
      <c r="A15" s="6" t="inlineStr">
        <is>
          <t>LB-220</t>
        </is>
      </c>
      <c r="B15" s="6" t="inlineStr">
        <is>
          <t>Storage Bin Label Set</t>
        </is>
      </c>
      <c r="C15" s="6" t="inlineStr">
        <is>
          <t>Storage</t>
        </is>
      </c>
      <c r="D15" s="38" t="n">
        <v>7.2</v>
      </c>
    </row>
    <row r="16">
      <c r="A16" s="6" t="inlineStr">
        <is>
          <t>CL-318</t>
        </is>
      </c>
      <c r="B16" s="6" t="inlineStr">
        <is>
          <t>Heavy-Duty Cleaner Spray</t>
        </is>
      </c>
      <c r="C16" s="6" t="inlineStr">
        <is>
          <t>Cleaning supplies</t>
        </is>
      </c>
      <c r="D16" s="38" t="n">
        <v>9.75</v>
      </c>
    </row>
    <row r="17">
      <c r="A17" s="6" t="inlineStr">
        <is>
          <t>SF-402</t>
        </is>
      </c>
      <c r="B17" s="6" t="inlineStr">
        <is>
          <t>Safety Floor Sign</t>
        </is>
      </c>
      <c r="C17" s="6" t="inlineStr">
        <is>
          <t>Safety</t>
        </is>
      </c>
      <c r="D17" s="38" t="n">
        <v>31</v>
      </c>
    </row>
    <row r="18">
      <c r="A18" s="6" t="inlineStr">
        <is>
          <t>CL-509</t>
        </is>
      </c>
      <c r="B18" s="6" t="inlineStr">
        <is>
          <t>Citrus Surface Cleaner</t>
        </is>
      </c>
      <c r="C18" s="6" t="inlineStr">
        <is>
          <t>Cleaning supplies</t>
        </is>
      </c>
      <c r="D18" s="38" t="n">
        <v>12.6</v>
      </c>
    </row>
    <row r="19">
      <c r="A19" s="6" t="inlineStr">
        <is>
          <t>TB-615</t>
        </is>
      </c>
      <c r="B19" s="6" t="inlineStr">
        <is>
          <t>Tool Cart Liner</t>
        </is>
      </c>
      <c r="C19" s="6" t="inlineStr">
        <is>
          <t>Maintenance</t>
        </is>
      </c>
      <c r="D19" s="38" t="n">
        <v>14.25</v>
      </c>
    </row>
    <row r="20">
      <c r="A20" s="6" t="inlineStr">
        <is>
          <t>CW-730</t>
        </is>
      </c>
      <c r="B20" s="6" t="inlineStr">
        <is>
          <t>Cleaning Wipes Bulk Pack</t>
        </is>
      </c>
      <c r="C20" s="6" t="inlineStr">
        <is>
          <t>Cleaning supplies</t>
        </is>
      </c>
      <c r="D20" s="38" t="n">
        <v>24.9</v>
      </c>
    </row>
    <row r="22">
      <c r="A22" s="32" t="inlineStr">
        <is>
          <t>Search term</t>
        </is>
      </c>
      <c r="B22" s="33" t="inlineStr">
        <is>
          <t>Surface</t>
        </is>
      </c>
    </row>
    <row r="24">
      <c r="A24" s="32" t="inlineStr">
        <is>
          <t>Matching product</t>
        </is>
      </c>
      <c r="B24" s="34">
        <f>_xlfn.XLOOKUP("*"&amp;B22&amp;"*",$B$13:$B$20,$B$13:$B$20,,2)</f>
        <v/>
      </c>
    </row>
    <row r="25">
      <c r="A25" s="32" t="inlineStr">
        <is>
          <t>Unit price</t>
        </is>
      </c>
      <c r="B25" s="39">
        <f>_xlfn.XLOOKUP("*"&amp;B22&amp;"*",$B$13:$B$20,$D$13:$D$20,,2)</f>
        <v/>
      </c>
    </row>
  </sheetData>
  <mergeCells count="9">
    <mergeCell ref="A1:H1"/>
    <mergeCell ref="A4:H4"/>
    <mergeCell ref="A3:H3"/>
    <mergeCell ref="A7:H7"/>
    <mergeCell ref="A2:H2"/>
    <mergeCell ref="A11:H11"/>
    <mergeCell ref="A5:H5"/>
    <mergeCell ref="A8:H8"/>
    <mergeCell ref="A6:H6"/>
  </mergeCells>
  <pageMargins left="0.75" right="0.75" top="1" bottom="1" header="0.5" footer="0.5"/>
  <pageSetup orientation="landscape" fitToHeight="0" fitToWidth="1"/>
</worksheet>
</file>

<file path=xl/worksheets/sheet8.xml><?xml version="1.0" encoding="utf-8"?>
<worksheet xmlns="http://schemas.openxmlformats.org/spreadsheetml/2006/main">
  <sheetPr>
    <tabColor rgb="0070AD47"/>
    <outlinePr summaryBelow="1" summaryRight="1"/>
    <pageSetUpPr fitToPage="1"/>
  </sheetPr>
  <dimension ref="A1:H19"/>
  <sheetViews>
    <sheetView showGridLines="0" workbookViewId="0">
      <selection activeCell="A1" sqref="A1"/>
    </sheetView>
  </sheetViews>
  <sheetFormatPr baseColWidth="8" defaultRowHeight="15"/>
  <cols>
    <col width="24" customWidth="1" min="1" max="1"/>
    <col width="20" customWidth="1" min="2" max="2"/>
    <col width="16" customWidth="1" min="3" max="3"/>
    <col width="16" customWidth="1" min="4" max="4"/>
    <col width="16" customWidth="1" min="5" max="5"/>
    <col width="16" customWidth="1" min="6" max="6"/>
    <col width="16" customWidth="1" min="7" max="7"/>
    <col width="16" customWidth="1" min="8" max="8"/>
  </cols>
  <sheetData>
    <row r="1" ht="30" customHeight="1">
      <c r="A1" s="15" t="inlineStr">
        <is>
          <t>QUESTION 07  |  Lookup error handling</t>
        </is>
      </c>
      <c r="B1" s="16" t="n"/>
      <c r="C1" s="16" t="n"/>
      <c r="D1" s="16" t="n"/>
      <c r="E1" s="16" t="n"/>
      <c r="F1" s="16" t="n"/>
      <c r="G1" s="16" t="n"/>
      <c r="H1" s="16" t="n"/>
    </row>
    <row r="2" ht="20" customHeight="1">
      <c r="A2" s="17" t="inlineStr">
        <is>
          <t>Level: Beginner      Functions: VLOOKUP, IFNA, XLOOKUP</t>
        </is>
      </c>
      <c r="B2" s="18" t="n"/>
      <c r="C2" s="18" t="n"/>
      <c r="D2" s="18" t="n"/>
      <c r="E2" s="18" t="n"/>
      <c r="F2" s="18" t="n"/>
      <c r="G2" s="18" t="n"/>
      <c r="H2" s="18" t="n"/>
    </row>
    <row r="3" ht="18" customHeight="1">
      <c r="A3" s="19" t="inlineStr">
        <is>
          <t>CONCEPT</t>
        </is>
      </c>
      <c r="B3" s="20" t="n"/>
      <c r="C3" s="20" t="n"/>
      <c r="D3" s="20" t="n"/>
      <c r="E3" s="20" t="n"/>
      <c r="F3" s="20" t="n"/>
      <c r="G3" s="20" t="n"/>
      <c r="H3" s="20" t="n"/>
    </row>
    <row r="4" ht="36" customHeight="1">
      <c r="A4" s="21" t="inlineStr">
        <is>
          <t>Missing items are normal. The key is returning a clean message instead of an error. You can wrap VLOOKUP with IFNA, or use XLOOKUP's built-in if_not_found argument.</t>
        </is>
      </c>
      <c r="B4" s="22" t="n"/>
      <c r="C4" s="22" t="n"/>
      <c r="D4" s="22" t="n"/>
      <c r="E4" s="22" t="n"/>
      <c r="F4" s="22" t="n"/>
      <c r="G4" s="22" t="n"/>
      <c r="H4" s="22" t="n"/>
    </row>
    <row r="5" ht="18" customHeight="1">
      <c r="A5" s="19" t="inlineStr">
        <is>
          <t>YOUR TASK</t>
        </is>
      </c>
      <c r="B5" s="20" t="n"/>
      <c r="C5" s="20" t="n"/>
      <c r="D5" s="20" t="n"/>
      <c r="E5" s="20" t="n"/>
      <c r="F5" s="20" t="n"/>
      <c r="G5" s="20" t="n"/>
      <c r="H5" s="20" t="n"/>
    </row>
    <row r="6" ht="50" customHeight="1">
      <c r="A6" s="23" t="inlineStr">
        <is>
          <t>1.  In cell B18, write a VLOOKUP that returns the product name. Wrap it with IFNA so missing items return Not found.
2.  In cell B19, write an XLOOKUP that returns the same result using its if_not_found argument.
Tip: Use exact match for VLOOKUP (4th argument = FALSE).</t>
        </is>
      </c>
      <c r="B6" s="24" t="n"/>
      <c r="C6" s="24" t="n"/>
      <c r="D6" s="24" t="n"/>
      <c r="E6" s="24" t="n"/>
      <c r="F6" s="24" t="n"/>
      <c r="G6" s="24" t="n"/>
      <c r="H6" s="24" t="n"/>
    </row>
    <row r="7" ht="18" customHeight="1">
      <c r="A7" s="25" t="inlineStr">
        <is>
          <t>ANSWER</t>
        </is>
      </c>
      <c r="B7" s="26" t="n"/>
      <c r="C7" s="26" t="n"/>
      <c r="D7" s="26" t="n"/>
      <c r="E7" s="26" t="n"/>
      <c r="F7" s="26" t="n"/>
      <c r="G7" s="26" t="n"/>
      <c r="H7" s="26" t="n"/>
    </row>
    <row r="8" ht="50" customHeight="1">
      <c r="A8" s="27" t="inlineStr">
        <is>
          <t>B18   →   =IFNA(VLOOKUP(B17,A13:C15,2,FALSE),"Not found")
B19   →   =XLOOKUP(B17,A13:A15,B13:B15,"Not found")
Expected result:  Not found in both cells  (change B6 to NW-11 → Shipping Boxes)</t>
        </is>
      </c>
      <c r="B8" s="28" t="n"/>
      <c r="C8" s="28" t="n"/>
      <c r="D8" s="28" t="n"/>
      <c r="E8" s="28" t="n"/>
      <c r="F8" s="28" t="n"/>
      <c r="G8" s="28" t="n"/>
      <c r="H8" s="28" t="n"/>
    </row>
    <row r="9" ht="22" customHeight="1">
      <c r="A9" s="36" t="inlineStr">
        <is>
          <t>Note:  The PDF answers used different texts ("NOT FOUND" / "NOTFOUND"); I standardised both to "Not found" as the task says.</t>
        </is>
      </c>
      <c r="B9" s="37" t="n"/>
      <c r="C9" s="37" t="n"/>
      <c r="D9" s="37" t="n"/>
      <c r="E9" s="37" t="n"/>
      <c r="F9" s="37" t="n"/>
      <c r="G9" s="37" t="n"/>
      <c r="H9" s="37" t="n"/>
    </row>
    <row r="10" ht="6" customHeight="1"/>
    <row r="11" ht="20" customHeight="1">
      <c r="A11" s="29" t="inlineStr">
        <is>
          <t>PRACTICE SHEET  (yellow = input / lookup value,  green = your answer cell)</t>
        </is>
      </c>
      <c r="B11" s="30" t="n"/>
      <c r="C11" s="30" t="n"/>
      <c r="D11" s="30" t="n"/>
      <c r="E11" s="30" t="n"/>
      <c r="F11" s="30" t="n"/>
      <c r="G11" s="30" t="n"/>
      <c r="H11" s="30" t="n"/>
    </row>
    <row r="12">
      <c r="A12" s="31" t="inlineStr">
        <is>
          <t>SKU</t>
        </is>
      </c>
      <c r="B12" s="31" t="inlineStr">
        <is>
          <t>Product</t>
        </is>
      </c>
      <c r="C12" s="31" t="inlineStr">
        <is>
          <t>Stock</t>
        </is>
      </c>
    </row>
    <row r="13">
      <c r="A13" s="6" t="inlineStr">
        <is>
          <t>NW-10</t>
        </is>
      </c>
      <c r="B13" s="6" t="inlineStr">
        <is>
          <t>Packing Tape</t>
        </is>
      </c>
      <c r="C13" s="35" t="n">
        <v>120</v>
      </c>
    </row>
    <row r="14">
      <c r="A14" s="6" t="inlineStr">
        <is>
          <t>NW-11</t>
        </is>
      </c>
      <c r="B14" s="6" t="inlineStr">
        <is>
          <t>Shipping Boxes</t>
        </is>
      </c>
      <c r="C14" s="35" t="n">
        <v>50</v>
      </c>
    </row>
    <row r="15">
      <c r="A15" s="6" t="inlineStr">
        <is>
          <t>NW-12</t>
        </is>
      </c>
      <c r="B15" s="6" t="inlineStr">
        <is>
          <t>Label Rolls</t>
        </is>
      </c>
      <c r="C15" s="35" t="n">
        <v>0</v>
      </c>
    </row>
    <row r="17">
      <c r="A17" s="32" t="inlineStr">
        <is>
          <t>Lookup SKU:</t>
        </is>
      </c>
      <c r="B17" s="33" t="inlineStr">
        <is>
          <t>NW-99</t>
        </is>
      </c>
    </row>
    <row r="18">
      <c r="A18" s="32" t="inlineStr">
        <is>
          <t>VLOOKUP + IFNA:</t>
        </is>
      </c>
      <c r="B18" s="34">
        <f>_xlfn.IFNA(VLOOKUP(B17,A13:C15,2,FALSE),"Not found")</f>
        <v/>
      </c>
    </row>
    <row r="19">
      <c r="A19" s="32" t="inlineStr">
        <is>
          <t>XLOOKUP not_found:</t>
        </is>
      </c>
      <c r="B19" s="34">
        <f>_xlfn.XLOOKUP(B17,A13:A15,B13:B15,"Not found")</f>
        <v/>
      </c>
    </row>
  </sheetData>
  <mergeCells count="10">
    <mergeCell ref="A1:H1"/>
    <mergeCell ref="A4:H4"/>
    <mergeCell ref="A9:H9"/>
    <mergeCell ref="A3:H3"/>
    <mergeCell ref="A7:H7"/>
    <mergeCell ref="A2:H2"/>
    <mergeCell ref="A11:H11"/>
    <mergeCell ref="A5:H5"/>
    <mergeCell ref="A8:H8"/>
    <mergeCell ref="A6:H6"/>
  </mergeCells>
  <pageMargins left="0.75" right="0.75" top="1" bottom="1" header="0.5" footer="0.5"/>
  <pageSetup orientation="landscape" fitToHeight="0" fitToWidth="1"/>
</worksheet>
</file>

<file path=xl/worksheets/sheet9.xml><?xml version="1.0" encoding="utf-8"?>
<worksheet xmlns="http://schemas.openxmlformats.org/spreadsheetml/2006/main">
  <sheetPr>
    <tabColor rgb="00ED7D31"/>
    <outlinePr summaryBelow="1" summaryRight="1"/>
    <pageSetUpPr fitToPage="1"/>
  </sheetPr>
  <dimension ref="A1:H25"/>
  <sheetViews>
    <sheetView showGridLines="0" workbookViewId="0">
      <selection activeCell="A1" sqref="A1"/>
    </sheetView>
  </sheetViews>
  <sheetFormatPr baseColWidth="8" defaultRowHeight="15"/>
  <cols>
    <col width="18" customWidth="1" min="1" max="1"/>
    <col width="18" customWidth="1" min="2" max="2"/>
    <col width="22" customWidth="1" min="3" max="3"/>
    <col width="34" customWidth="1" min="4" max="4"/>
    <col width="26" customWidth="1" min="5" max="5"/>
    <col width="16" customWidth="1" min="6" max="6"/>
    <col width="16" customWidth="1" min="7" max="7"/>
    <col width="16" customWidth="1" min="8" max="8"/>
  </cols>
  <sheetData>
    <row r="1" ht="30" customHeight="1">
      <c r="A1" s="15" t="inlineStr">
        <is>
          <t>QUESTION 08a  |  Look up a manager with INDEX + MATCH</t>
        </is>
      </c>
      <c r="B1" s="16" t="n"/>
      <c r="C1" s="16" t="n"/>
      <c r="D1" s="16" t="n"/>
      <c r="E1" s="16" t="n"/>
      <c r="F1" s="16" t="n"/>
      <c r="G1" s="16" t="n"/>
      <c r="H1" s="16" t="n"/>
    </row>
    <row r="2" ht="20" customHeight="1">
      <c r="A2" s="17" t="inlineStr">
        <is>
          <t>Level: Intermediate      Functions: INDEX, MATCH (and XLOOKUP)</t>
        </is>
      </c>
      <c r="B2" s="18" t="n"/>
      <c r="C2" s="18" t="n"/>
      <c r="D2" s="18" t="n"/>
      <c r="E2" s="18" t="n"/>
      <c r="F2" s="18" t="n"/>
      <c r="G2" s="18" t="n"/>
      <c r="H2" s="18" t="n"/>
    </row>
    <row r="3" ht="18" customHeight="1">
      <c r="A3" s="19" t="inlineStr">
        <is>
          <t>CONCEPT</t>
        </is>
      </c>
      <c r="B3" s="20" t="n"/>
      <c r="C3" s="20" t="n"/>
      <c r="D3" s="20" t="n"/>
      <c r="E3" s="20" t="n"/>
      <c r="F3" s="20" t="n"/>
      <c r="G3" s="20" t="n"/>
      <c r="H3" s="20" t="n"/>
    </row>
    <row r="4" ht="50" customHeight="1">
      <c r="A4" s="21" t="inlineStr">
        <is>
          <t>The lookup value isn't always in the first column. Here the roster has Manager in column A and Employee in column B, so a left-to-right VLOOKUP won't fit.
INDEX + MATCH solves this: MATCH finds the row where the employee name appears, INDEX returns the manager from that same row.
XLOOKUP can do exactly the same job (see column E).</t>
        </is>
      </c>
      <c r="B4" s="22" t="n"/>
      <c r="C4" s="22" t="n"/>
      <c r="D4" s="22" t="n"/>
      <c r="E4" s="22" t="n"/>
      <c r="F4" s="22" t="n"/>
      <c r="G4" s="22" t="n"/>
      <c r="H4" s="22" t="n"/>
    </row>
    <row r="5" ht="18" customHeight="1">
      <c r="A5" s="19" t="inlineStr">
        <is>
          <t>YOUR TASK</t>
        </is>
      </c>
      <c r="B5" s="20" t="n"/>
      <c r="C5" s="20" t="n"/>
      <c r="D5" s="20" t="n"/>
      <c r="E5" s="20" t="n"/>
      <c r="F5" s="20" t="n"/>
      <c r="G5" s="20" t="n"/>
      <c r="H5" s="20" t="n"/>
    </row>
    <row r="6" ht="50" customHeight="1">
      <c r="A6" s="23" t="inlineStr">
        <is>
          <t>1.  Enter an INDEX-MATCH formula in C23 that looks up the manager for the employee in B23.
2.  Copy the formula down through C25.
Tip: Use exact match (0) in MATCH, and lock the roster ranges so the formula copies cleanly.</t>
        </is>
      </c>
      <c r="B6" s="24" t="n"/>
      <c r="C6" s="24" t="n"/>
      <c r="D6" s="24" t="n"/>
      <c r="E6" s="24" t="n"/>
      <c r="F6" s="24" t="n"/>
      <c r="G6" s="24" t="n"/>
      <c r="H6" s="24" t="n"/>
    </row>
    <row r="7" ht="18" customHeight="1">
      <c r="A7" s="25" t="inlineStr">
        <is>
          <t>ANSWER</t>
        </is>
      </c>
      <c r="B7" s="26" t="n"/>
      <c r="C7" s="26" t="n"/>
      <c r="D7" s="26" t="n"/>
      <c r="E7" s="26" t="n"/>
      <c r="F7" s="26" t="n"/>
      <c r="G7" s="26" t="n"/>
      <c r="H7" s="26" t="n"/>
    </row>
    <row r="8" ht="50" customHeight="1">
      <c r="A8" s="27" t="inlineStr">
        <is>
          <t>C23   →   =INDEX($A$13:$A$20,MATCH(B23,$B$13:$B$20,0))     (copy down to C14)
E23   →   =XLOOKUP(B23,$B$13:$B$20,$A$13:$A$20)     (alternative, copy down)
Expected result:  Thomas Nguyen, David Brown, Maria Gomez  (C12:C14)</t>
        </is>
      </c>
      <c r="B8" s="28" t="n"/>
      <c r="C8" s="28" t="n"/>
      <c r="D8" s="28" t="n"/>
      <c r="E8" s="28" t="n"/>
      <c r="F8" s="28" t="n"/>
      <c r="G8" s="28" t="n"/>
      <c r="H8" s="28" t="n"/>
    </row>
    <row r="9" ht="22" customHeight="1">
      <c r="A9" s="36" t="inlineStr">
        <is>
          <t>Note:  The PDF answer referenced A13 for the lookup; the correct lookup cell is the employee in column B (B12), which is what I used.</t>
        </is>
      </c>
      <c r="B9" s="37" t="n"/>
      <c r="C9" s="37" t="n"/>
      <c r="D9" s="37" t="n"/>
      <c r="E9" s="37" t="n"/>
      <c r="F9" s="37" t="n"/>
      <c r="G9" s="37" t="n"/>
      <c r="H9" s="37" t="n"/>
    </row>
    <row r="10" ht="6" customHeight="1"/>
    <row r="11" ht="20" customHeight="1">
      <c r="A11" s="29" t="inlineStr">
        <is>
          <t>PRACTICE SHEET  (yellow = input / lookup value,  green = your answer cell)</t>
        </is>
      </c>
      <c r="B11" s="30" t="n"/>
      <c r="C11" s="30" t="n"/>
      <c r="D11" s="30" t="n"/>
      <c r="E11" s="30" t="n"/>
      <c r="F11" s="30" t="n"/>
      <c r="G11" s="30" t="n"/>
      <c r="H11" s="30" t="n"/>
    </row>
    <row r="12">
      <c r="A12" s="31" t="inlineStr">
        <is>
          <t>Manager</t>
        </is>
      </c>
      <c r="B12" s="31" t="inlineStr">
        <is>
          <t>Employee</t>
        </is>
      </c>
      <c r="C12" s="31" t="inlineStr">
        <is>
          <t>Team</t>
        </is>
      </c>
      <c r="D12" s="31" t="inlineStr">
        <is>
          <t>Pay grade</t>
        </is>
      </c>
    </row>
    <row r="13">
      <c r="A13" s="6" t="inlineStr">
        <is>
          <t>Maria Gomez</t>
        </is>
      </c>
      <c r="B13" s="6" t="inlineStr">
        <is>
          <t>Ava Patel</t>
        </is>
      </c>
      <c r="C13" s="6" t="inlineStr">
        <is>
          <t>HR Ops</t>
        </is>
      </c>
      <c r="D13" s="6" t="inlineStr">
        <is>
          <t>P2</t>
        </is>
      </c>
    </row>
    <row r="14">
      <c r="A14" s="6" t="inlineStr">
        <is>
          <t>Maria Gomez</t>
        </is>
      </c>
      <c r="B14" s="6" t="inlineStr">
        <is>
          <t>Jordan Lee</t>
        </is>
      </c>
      <c r="C14" s="6" t="inlineStr">
        <is>
          <t>HR Ops</t>
        </is>
      </c>
      <c r="D14" s="6" t="inlineStr">
        <is>
          <t>P2</t>
        </is>
      </c>
    </row>
    <row r="15">
      <c r="A15" s="6" t="inlineStr">
        <is>
          <t>Thomas Nguyen</t>
        </is>
      </c>
      <c r="B15" s="6" t="inlineStr">
        <is>
          <t>Elena Rossi</t>
        </is>
      </c>
      <c r="C15" s="6" t="inlineStr">
        <is>
          <t>Payroll</t>
        </is>
      </c>
      <c r="D15" s="6" t="inlineStr">
        <is>
          <t>P3</t>
        </is>
      </c>
    </row>
    <row r="16">
      <c r="A16" s="6" t="inlineStr">
        <is>
          <t>Thomas Nguyen</t>
        </is>
      </c>
      <c r="B16" s="6" t="inlineStr">
        <is>
          <t>Noah Kim</t>
        </is>
      </c>
      <c r="C16" s="6" t="inlineStr">
        <is>
          <t>Payroll</t>
        </is>
      </c>
      <c r="D16" s="6" t="inlineStr">
        <is>
          <t>P3</t>
        </is>
      </c>
    </row>
    <row r="17">
      <c r="A17" s="6" t="inlineStr">
        <is>
          <t>Priya Shah</t>
        </is>
      </c>
      <c r="B17" s="6" t="inlineStr">
        <is>
          <t>Liam Chen</t>
        </is>
      </c>
      <c r="C17" s="6" t="inlineStr">
        <is>
          <t>Benefits</t>
        </is>
      </c>
      <c r="D17" s="6" t="inlineStr">
        <is>
          <t>P2</t>
        </is>
      </c>
    </row>
    <row r="18">
      <c r="A18" s="6" t="inlineStr">
        <is>
          <t>Priya Shah</t>
        </is>
      </c>
      <c r="B18" s="6" t="inlineStr">
        <is>
          <t>Sophia Martinez</t>
        </is>
      </c>
      <c r="C18" s="6" t="inlineStr">
        <is>
          <t>Benefits</t>
        </is>
      </c>
      <c r="D18" s="6" t="inlineStr">
        <is>
          <t>P2</t>
        </is>
      </c>
    </row>
    <row r="19">
      <c r="A19" s="6" t="inlineStr">
        <is>
          <t>David Brown</t>
        </is>
      </c>
      <c r="B19" s="6" t="inlineStr">
        <is>
          <t>Mia Johnson</t>
        </is>
      </c>
      <c r="C19" s="6" t="inlineStr">
        <is>
          <t>Recruiting</t>
        </is>
      </c>
      <c r="D19" s="6" t="inlineStr">
        <is>
          <t>P1</t>
        </is>
      </c>
    </row>
    <row r="20">
      <c r="A20" s="6" t="inlineStr">
        <is>
          <t>David Brown</t>
        </is>
      </c>
      <c r="B20" s="6" t="inlineStr">
        <is>
          <t>Ethan Wilson</t>
        </is>
      </c>
      <c r="C20" s="6" t="inlineStr">
        <is>
          <t>Recruiting</t>
        </is>
      </c>
      <c r="D20" s="6" t="inlineStr">
        <is>
          <t>P1</t>
        </is>
      </c>
    </row>
    <row r="21">
      <c r="A21" s="32" t="inlineStr">
        <is>
          <t>Pay change requests</t>
        </is>
      </c>
    </row>
    <row r="22">
      <c r="A22" s="31" t="inlineStr">
        <is>
          <t>Request</t>
        </is>
      </c>
      <c r="B22" s="31" t="inlineStr">
        <is>
          <t>Employee</t>
        </is>
      </c>
      <c r="C22" s="31" t="inlineStr">
        <is>
          <t>Manager (fill)</t>
        </is>
      </c>
      <c r="D22" s="31" t="inlineStr">
        <is>
          <t>Reason</t>
        </is>
      </c>
      <c r="E22" s="31" t="inlineStr">
        <is>
          <t>Manager (XLOOKUP alt.)</t>
        </is>
      </c>
    </row>
    <row r="23">
      <c r="A23" s="6" t="inlineStr">
        <is>
          <t>Request 1</t>
        </is>
      </c>
      <c r="B23" s="6" t="inlineStr">
        <is>
          <t>Noah Kim</t>
        </is>
      </c>
      <c r="C23" s="34">
        <f>INDEX($A$13:$A$20,MATCH(B23,$B$13:$B$20,0))</f>
        <v/>
      </c>
      <c r="D23" s="6" t="inlineStr">
        <is>
          <t>Missing manager in request form</t>
        </is>
      </c>
      <c r="E23" s="34">
        <f>_xlfn.XLOOKUP(B23,$B$13:$B$20,$A$13:$A$20)</f>
        <v/>
      </c>
    </row>
    <row r="24">
      <c r="A24" s="6" t="inlineStr">
        <is>
          <t>Request 2</t>
        </is>
      </c>
      <c r="B24" s="6" t="inlineStr">
        <is>
          <t>Mia Johnson</t>
        </is>
      </c>
      <c r="C24" s="34">
        <f>INDEX($A$13:$A$20,MATCH(B24,$B$13:$B$20,0))</f>
        <v/>
      </c>
      <c r="D24" s="6" t="inlineStr">
        <is>
          <t>New manager assignment needed</t>
        </is>
      </c>
      <c r="E24" s="34">
        <f>_xlfn.XLOOKUP(B24,$B$13:$B$20,$A$13:$A$20)</f>
        <v/>
      </c>
    </row>
    <row r="25">
      <c r="A25" s="6" t="inlineStr">
        <is>
          <t>Request 3</t>
        </is>
      </c>
      <c r="B25" s="6" t="inlineStr">
        <is>
          <t>Jordan Lee</t>
        </is>
      </c>
      <c r="C25" s="34">
        <f>INDEX($A$13:$A$20,MATCH(B25,$B$13:$B$20,0))</f>
        <v/>
      </c>
      <c r="D25" s="6" t="inlineStr">
        <is>
          <t>Approval workflow requires manager</t>
        </is>
      </c>
      <c r="E25" s="34">
        <f>_xlfn.XLOOKUP(B25,$B$13:$B$20,$A$13:$A$20)</f>
        <v/>
      </c>
    </row>
  </sheetData>
  <mergeCells count="10">
    <mergeCell ref="A1:H1"/>
    <mergeCell ref="A4:H4"/>
    <mergeCell ref="A9:H9"/>
    <mergeCell ref="A3:H3"/>
    <mergeCell ref="A7:H7"/>
    <mergeCell ref="A2:H2"/>
    <mergeCell ref="A11:H11"/>
    <mergeCell ref="A5:H5"/>
    <mergeCell ref="A8:H8"/>
    <mergeCell ref="A6:H6"/>
  </mergeCells>
  <pageMargins left="0.75" right="0.75" top="1" bottom="1" header="0.5" footer="0.5"/>
  <pageSetup orientation="landscape" fitToHeight="0" fitToWidth="1"/>
</worksheet>
</file>

<file path=xl/worksheets/sheet10.xml><?xml version="1.0" encoding="utf-8"?>
<worksheet xmlns="http://schemas.openxmlformats.org/spreadsheetml/2006/main">
  <sheetPr>
    <tabColor rgb="00ED7D31"/>
    <outlinePr summaryBelow="1" summaryRight="1"/>
    <pageSetUpPr fitToPage="1"/>
  </sheetPr>
  <dimension ref="A1:H25"/>
  <sheetViews>
    <sheetView showGridLines="0" workbookViewId="0">
      <selection activeCell="A1" sqref="A1"/>
    </sheetView>
  </sheetViews>
  <sheetFormatPr baseColWidth="8" defaultRowHeight="15"/>
  <cols>
    <col width="30" customWidth="1" min="1" max="1"/>
    <col width="16" customWidth="1" min="2" max="2"/>
    <col width="30" customWidth="1" min="3" max="3"/>
    <col width="32" customWidth="1" min="4" max="4"/>
    <col width="28" customWidth="1" min="5" max="5"/>
    <col width="16" customWidth="1" min="6" max="6"/>
    <col width="16" customWidth="1" min="7" max="7"/>
    <col width="16" customWidth="1" min="8" max="8"/>
  </cols>
  <sheetData>
    <row r="1" ht="30" customHeight="1">
      <c r="A1" s="15" t="inlineStr">
        <is>
          <t>QUESTION 08b  |  INDEX-MATCH left lookup (email)</t>
        </is>
      </c>
      <c r="B1" s="16" t="n"/>
      <c r="C1" s="16" t="n"/>
      <c r="D1" s="16" t="n"/>
      <c r="E1" s="16" t="n"/>
      <c r="F1" s="16" t="n"/>
      <c r="G1" s="16" t="n"/>
      <c r="H1" s="16" t="n"/>
    </row>
    <row r="2" ht="20" customHeight="1">
      <c r="A2" s="17" t="inlineStr">
        <is>
          <t>Level: Intermediate      Functions: INDEX, MATCH (and XLOOKUP)</t>
        </is>
      </c>
      <c r="B2" s="18" t="n"/>
      <c r="C2" s="18" t="n"/>
      <c r="D2" s="18" t="n"/>
      <c r="E2" s="18" t="n"/>
      <c r="F2" s="18" t="n"/>
      <c r="G2" s="18" t="n"/>
      <c r="H2" s="18" t="n"/>
    </row>
    <row r="3" ht="18" customHeight="1">
      <c r="A3" s="19" t="inlineStr">
        <is>
          <t>CONCEPT</t>
        </is>
      </c>
      <c r="B3" s="20" t="n"/>
      <c r="C3" s="20" t="n"/>
      <c r="D3" s="20" t="n"/>
      <c r="E3" s="20" t="n"/>
      <c r="F3" s="20" t="n"/>
      <c r="G3" s="20" t="n"/>
      <c r="H3" s="20" t="n"/>
    </row>
    <row r="4" ht="36" customHeight="1">
      <c r="A4" s="21" t="inlineStr">
        <is>
          <t>Exports often have columns in an awkward order. Here Email is to the LEFT of Customer ID, so a basic VLOOKUP can't return it.
INDEX + MATCH: MATCH finds the row number where a customer ID appears, INDEX returns the email from that same row.</t>
        </is>
      </c>
      <c r="B4" s="22" t="n"/>
      <c r="C4" s="22" t="n"/>
      <c r="D4" s="22" t="n"/>
      <c r="E4" s="22" t="n"/>
      <c r="F4" s="22" t="n"/>
      <c r="G4" s="22" t="n"/>
      <c r="H4" s="22" t="n"/>
    </row>
    <row r="5" ht="18" customHeight="1">
      <c r="A5" s="19" t="inlineStr">
        <is>
          <t>YOUR TASK</t>
        </is>
      </c>
      <c r="B5" s="20" t="n"/>
      <c r="C5" s="20" t="n"/>
      <c r="D5" s="20" t="n"/>
      <c r="E5" s="20" t="n"/>
      <c r="F5" s="20" t="n"/>
      <c r="G5" s="20" t="n"/>
      <c r="H5" s="20" t="n"/>
    </row>
    <row r="6" ht="64" customHeight="1">
      <c r="A6" s="23" t="inlineStr">
        <is>
          <t>1.  You have a customer directory in A12:D20, where Email is in column A and Customer ID is in column B.
2.  In C23, write an INDEX-MATCH formula that returns the email for the customer ID in B23.
3.  Copy the formula down through C25.
4.  Use exact match in MATCH and lock the directory ranges so the formula copies correctly.</t>
        </is>
      </c>
      <c r="B6" s="24" t="n"/>
      <c r="C6" s="24" t="n"/>
      <c r="D6" s="24" t="n"/>
      <c r="E6" s="24" t="n"/>
      <c r="F6" s="24" t="n"/>
      <c r="G6" s="24" t="n"/>
      <c r="H6" s="24" t="n"/>
    </row>
    <row r="7" ht="18" customHeight="1">
      <c r="A7" s="25" t="inlineStr">
        <is>
          <t>ANSWER</t>
        </is>
      </c>
      <c r="B7" s="26" t="n"/>
      <c r="C7" s="26" t="n"/>
      <c r="D7" s="26" t="n"/>
      <c r="E7" s="26" t="n"/>
      <c r="F7" s="26" t="n"/>
      <c r="G7" s="26" t="n"/>
      <c r="H7" s="26" t="n"/>
    </row>
    <row r="8" ht="50" customHeight="1">
      <c r="A8" s="27" t="inlineStr">
        <is>
          <t>C23   →   =INDEX($A$13:$A$20,MATCH(B23,$B$13:$B$20,0))     (copy down to C14)
E23   →   =XLOOKUP(B23,$B$13:$B$20,$A$13:$A$20)     (alternative, copy down)
Expected result:  ingrid.larsen@northwind.com, bianca.chen@northwind.com, diego.souza@northwind.com</t>
        </is>
      </c>
      <c r="B8" s="28" t="n"/>
      <c r="C8" s="28" t="n"/>
      <c r="D8" s="28" t="n"/>
      <c r="E8" s="28" t="n"/>
      <c r="F8" s="28" t="n"/>
      <c r="G8" s="28" t="n"/>
      <c r="H8" s="28" t="n"/>
    </row>
    <row r="9" ht="22" customHeight="1">
      <c r="A9" s="36" t="inlineStr">
        <is>
          <t>Note:  The PDF has two questions numbered 08, so they are named Q08a and Q08b here.</t>
        </is>
      </c>
      <c r="B9" s="37" t="n"/>
      <c r="C9" s="37" t="n"/>
      <c r="D9" s="37" t="n"/>
      <c r="E9" s="37" t="n"/>
      <c r="F9" s="37" t="n"/>
      <c r="G9" s="37" t="n"/>
      <c r="H9" s="37" t="n"/>
    </row>
    <row r="10" ht="6" customHeight="1"/>
    <row r="11" ht="20" customHeight="1">
      <c r="A11" s="29" t="inlineStr">
        <is>
          <t>PRACTICE SHEET  (yellow = input / lookup value,  green = your answer cell)</t>
        </is>
      </c>
      <c r="B11" s="30" t="n"/>
      <c r="C11" s="30" t="n"/>
      <c r="D11" s="30" t="n"/>
      <c r="E11" s="30" t="n"/>
      <c r="F11" s="30" t="n"/>
      <c r="G11" s="30" t="n"/>
      <c r="H11" s="30" t="n"/>
    </row>
    <row r="12">
      <c r="A12" s="31" t="inlineStr">
        <is>
          <t>Email</t>
        </is>
      </c>
      <c r="B12" s="31" t="inlineStr">
        <is>
          <t>Customer ID</t>
        </is>
      </c>
      <c r="C12" s="31" t="inlineStr">
        <is>
          <t>Customer name</t>
        </is>
      </c>
      <c r="D12" s="31" t="inlineStr">
        <is>
          <t>Segment</t>
        </is>
      </c>
    </row>
    <row r="13">
      <c r="A13" s="6" t="inlineStr">
        <is>
          <t>alex.garcia@northwind.com</t>
        </is>
      </c>
      <c r="B13" s="6" t="inlineStr">
        <is>
          <t>C-1042</t>
        </is>
      </c>
      <c r="C13" s="6" t="inlineStr">
        <is>
          <t>Alex Garcia</t>
        </is>
      </c>
      <c r="D13" s="6" t="inlineStr">
        <is>
          <t>SMB</t>
        </is>
      </c>
    </row>
    <row r="14">
      <c r="A14" s="6" t="inlineStr">
        <is>
          <t>bianca.chen@northwind.com</t>
        </is>
      </c>
      <c r="B14" s="6" t="inlineStr">
        <is>
          <t>C-1047</t>
        </is>
      </c>
      <c r="C14" s="6" t="inlineStr">
        <is>
          <t>Bianca Chen</t>
        </is>
      </c>
      <c r="D14" s="6" t="inlineStr">
        <is>
          <t>SMB</t>
        </is>
      </c>
    </row>
    <row r="15">
      <c r="A15" s="6" t="inlineStr">
        <is>
          <t>diego.souza@northwind.com</t>
        </is>
      </c>
      <c r="B15" s="6" t="inlineStr">
        <is>
          <t>C-1050</t>
        </is>
      </c>
      <c r="C15" s="6" t="inlineStr">
        <is>
          <t>Diego Souza</t>
        </is>
      </c>
      <c r="D15" s="6" t="inlineStr">
        <is>
          <t>Mid-market</t>
        </is>
      </c>
    </row>
    <row r="16">
      <c r="A16" s="6" t="inlineStr">
        <is>
          <t>emma.johansson@northwind.com</t>
        </is>
      </c>
      <c r="B16" s="6" t="inlineStr">
        <is>
          <t>C-1055</t>
        </is>
      </c>
      <c r="C16" s="6" t="inlineStr">
        <is>
          <t>Emma Johansson</t>
        </is>
      </c>
      <c r="D16" s="6" t="inlineStr">
        <is>
          <t>Enterprise</t>
        </is>
      </c>
    </row>
    <row r="17">
      <c r="A17" s="6" t="inlineStr">
        <is>
          <t>farah.khan@northwind.com</t>
        </is>
      </c>
      <c r="B17" s="6" t="inlineStr">
        <is>
          <t>C-1059</t>
        </is>
      </c>
      <c r="C17" s="6" t="inlineStr">
        <is>
          <t>Farah Khan</t>
        </is>
      </c>
      <c r="D17" s="6" t="inlineStr">
        <is>
          <t>Mid-market</t>
        </is>
      </c>
    </row>
    <row r="18">
      <c r="A18" s="6" t="inlineStr">
        <is>
          <t>henry.patel@northwind.com</t>
        </is>
      </c>
      <c r="B18" s="6" t="inlineStr">
        <is>
          <t>C-1061</t>
        </is>
      </c>
      <c r="C18" s="6" t="inlineStr">
        <is>
          <t>Henry Patel</t>
        </is>
      </c>
      <c r="D18" s="6" t="inlineStr">
        <is>
          <t>SMB</t>
        </is>
      </c>
    </row>
    <row r="19">
      <c r="A19" s="6" t="inlineStr">
        <is>
          <t>ingrid.larsen@northwind.com</t>
        </is>
      </c>
      <c r="B19" s="6" t="inlineStr">
        <is>
          <t>C-1068</t>
        </is>
      </c>
      <c r="C19" s="6" t="inlineStr">
        <is>
          <t>Ingrid Larsen</t>
        </is>
      </c>
      <c r="D19" s="6" t="inlineStr">
        <is>
          <t>Enterprise</t>
        </is>
      </c>
    </row>
    <row r="20">
      <c r="A20" s="6" t="inlineStr">
        <is>
          <t>jordan.reed@northwind.com</t>
        </is>
      </c>
      <c r="B20" s="6" t="inlineStr">
        <is>
          <t>C-1072</t>
        </is>
      </c>
      <c r="C20" s="6" t="inlineStr">
        <is>
          <t>Jordan Reed</t>
        </is>
      </c>
      <c r="D20" s="6" t="inlineStr">
        <is>
          <t>Mid-market</t>
        </is>
      </c>
    </row>
    <row r="21">
      <c r="A21" s="32" t="inlineStr">
        <is>
          <t>Campaign tasks</t>
        </is>
      </c>
    </row>
    <row r="22">
      <c r="A22" s="31" t="inlineStr">
        <is>
          <t>Campaign task</t>
        </is>
      </c>
      <c r="B22" s="31" t="inlineStr">
        <is>
          <t>Customer ID</t>
        </is>
      </c>
      <c r="C22" s="31" t="inlineStr">
        <is>
          <t>Email (fill)</t>
        </is>
      </c>
      <c r="D22" s="31" t="inlineStr">
        <is>
          <t>Note</t>
        </is>
      </c>
      <c r="E22" s="31" t="inlineStr">
        <is>
          <t>Email (XLOOKUP alt.)</t>
        </is>
      </c>
    </row>
    <row r="23">
      <c r="A23" s="6" t="inlineStr">
        <is>
          <t>Renewal reminder</t>
        </is>
      </c>
      <c r="B23" s="6" t="inlineStr">
        <is>
          <t>C-1068</t>
        </is>
      </c>
      <c r="C23" s="34">
        <f>INDEX($A$13:$A$20,MATCH(B23,$B$13:$B$20,0))</f>
        <v/>
      </c>
      <c r="D23" s="6" t="inlineStr">
        <is>
          <t>Email needed for send list</t>
        </is>
      </c>
      <c r="E23" s="34">
        <f>_xlfn.XLOOKUP(B23,$B$13:$B$20,$A$13:$A$20)</f>
        <v/>
      </c>
    </row>
    <row r="24">
      <c r="A24" s="6" t="inlineStr">
        <is>
          <t>Upsell outreach</t>
        </is>
      </c>
      <c r="B24" s="6" t="inlineStr">
        <is>
          <t>C-1047</t>
        </is>
      </c>
      <c r="C24" s="34">
        <f>INDEX($A$13:$A$20,MATCH(B24,$B$13:$B$20,0))</f>
        <v/>
      </c>
      <c r="D24" s="6" t="inlineStr">
        <is>
          <t>Confirm contact before sending</t>
        </is>
      </c>
      <c r="E24" s="34">
        <f>_xlfn.XLOOKUP(B24,$B$13:$B$20,$A$13:$A$20)</f>
        <v/>
      </c>
    </row>
    <row r="25">
      <c r="A25" s="6" t="inlineStr">
        <is>
          <t>Onboarding check-in</t>
        </is>
      </c>
      <c r="B25" s="6" t="inlineStr">
        <is>
          <t>C-1050</t>
        </is>
      </c>
      <c r="C25" s="34">
        <f>INDEX($A$13:$A$20,MATCH(B25,$B$13:$B$20,0))</f>
        <v/>
      </c>
      <c r="D25" s="6" t="inlineStr">
        <is>
          <t>Customer asked for follow-up</t>
        </is>
      </c>
      <c r="E25" s="34">
        <f>_xlfn.XLOOKUP(B25,$B$13:$B$20,$A$13:$A$20)</f>
        <v/>
      </c>
    </row>
  </sheetData>
  <mergeCells count="10">
    <mergeCell ref="A1:H1"/>
    <mergeCell ref="A4:H4"/>
    <mergeCell ref="A9:H9"/>
    <mergeCell ref="A3:H3"/>
    <mergeCell ref="A7:H7"/>
    <mergeCell ref="A2:H2"/>
    <mergeCell ref="A11:H11"/>
    <mergeCell ref="A5:H5"/>
    <mergeCell ref="A8:H8"/>
    <mergeCell ref="A6:H6"/>
  </mergeCells>
  <pageMargins left="0.75" right="0.75" top="1" bottom="1" header="0.5" footer="0.5"/>
  <pageSetup orientation="landscape" fitToHeight="0" fitToWidth="1"/>
</worksheet>
</file>

<file path=xl/worksheets/sheet11.xml><?xml version="1.0" encoding="utf-8"?>
<worksheet xmlns="http://schemas.openxmlformats.org/spreadsheetml/2006/main">
  <sheetPr>
    <tabColor rgb="00ED7D31"/>
    <outlinePr summaryBelow="1" summaryRight="1"/>
    <pageSetUpPr fitToPage="1"/>
  </sheetPr>
  <dimension ref="A1:H22"/>
  <sheetViews>
    <sheetView showGridLines="0" workbookViewId="0">
      <selection activeCell="A1" sqref="A1"/>
    </sheetView>
  </sheetViews>
  <sheetFormatPr baseColWidth="8" defaultRowHeight="15"/>
  <cols>
    <col width="26" customWidth="1" min="1" max="1"/>
    <col width="14" customWidth="1" min="2" max="2"/>
    <col width="14" customWidth="1" min="3" max="3"/>
    <col width="14" customWidth="1" min="4" max="4"/>
    <col width="14" customWidth="1" min="5" max="5"/>
    <col width="16" customWidth="1" min="6" max="6"/>
    <col width="16" customWidth="1" min="7" max="7"/>
    <col width="16" customWidth="1" min="8" max="8"/>
  </cols>
  <sheetData>
    <row r="1" ht="30" customHeight="1">
      <c r="A1" s="15" t="inlineStr">
        <is>
          <t>QUESTION 09  |  INDEX-MATCH with MATCH in both directions</t>
        </is>
      </c>
      <c r="B1" s="16" t="n"/>
      <c r="C1" s="16" t="n"/>
      <c r="D1" s="16" t="n"/>
      <c r="E1" s="16" t="n"/>
      <c r="F1" s="16" t="n"/>
      <c r="G1" s="16" t="n"/>
      <c r="H1" s="16" t="n"/>
    </row>
    <row r="2" ht="20" customHeight="1">
      <c r="A2" s="17" t="inlineStr">
        <is>
          <t>Level: Intermediate      Functions: INDEX, MATCH, XLOOKUP</t>
        </is>
      </c>
      <c r="B2" s="18" t="n"/>
      <c r="C2" s="18" t="n"/>
      <c r="D2" s="18" t="n"/>
      <c r="E2" s="18" t="n"/>
      <c r="F2" s="18" t="n"/>
      <c r="G2" s="18" t="n"/>
      <c r="H2" s="18" t="n"/>
    </row>
    <row r="3" ht="18" customHeight="1">
      <c r="A3" s="19" t="inlineStr">
        <is>
          <t>CONCEPT</t>
        </is>
      </c>
      <c r="B3" s="20" t="n"/>
      <c r="C3" s="20" t="n"/>
      <c r="D3" s="20" t="n"/>
      <c r="E3" s="20" t="n"/>
      <c r="F3" s="20" t="n"/>
      <c r="G3" s="20" t="n"/>
      <c r="H3" s="20" t="n"/>
    </row>
    <row r="4" ht="50" customHeight="1">
      <c r="A4" s="21" t="inlineStr">
        <is>
          <t>Shipping teams often keep prices in a matrix: one category by row, another by column. A two-way lookup returns the value where the two labels intersect. One MATCH finds the row (zone), the other finds the column (weight bracket).
Pattern: =INDEX(data_range, MATCH(row_value, row_labels, 0), MATCH(column_value, column_labels, 0))</t>
        </is>
      </c>
      <c r="B4" s="22" t="n"/>
      <c r="C4" s="22" t="n"/>
      <c r="D4" s="22" t="n"/>
      <c r="E4" s="22" t="n"/>
      <c r="F4" s="22" t="n"/>
      <c r="G4" s="22" t="n"/>
      <c r="H4" s="22" t="n"/>
    </row>
    <row r="5" ht="18" customHeight="1">
      <c r="A5" s="19" t="inlineStr">
        <is>
          <t>YOUR TASK</t>
        </is>
      </c>
      <c r="B5" s="20" t="n"/>
      <c r="C5" s="20" t="n"/>
      <c r="D5" s="20" t="n"/>
      <c r="E5" s="20" t="n"/>
      <c r="F5" s="20" t="n"/>
      <c r="G5" s="20" t="n"/>
      <c r="H5" s="20" t="n"/>
    </row>
    <row r="6" ht="50" customHeight="1">
      <c r="A6" s="23" t="inlineStr">
        <is>
          <t>1.  Build your formula in B21 using the lookup inputs in B19 (zone) and B20 (weight bracket).
2.  Return the shipping rate at the intersection of the chosen zone and weight bracket.
3.  Bonus: do the same with nested XLOOKUP in B22.</t>
        </is>
      </c>
      <c r="B6" s="24" t="n"/>
      <c r="C6" s="24" t="n"/>
      <c r="D6" s="24" t="n"/>
      <c r="E6" s="24" t="n"/>
      <c r="F6" s="24" t="n"/>
      <c r="G6" s="24" t="n"/>
      <c r="H6" s="24" t="n"/>
    </row>
    <row r="7" ht="18" customHeight="1">
      <c r="A7" s="25" t="inlineStr">
        <is>
          <t>ANSWER</t>
        </is>
      </c>
      <c r="B7" s="26" t="n"/>
      <c r="C7" s="26" t="n"/>
      <c r="D7" s="26" t="n"/>
      <c r="E7" s="26" t="n"/>
      <c r="F7" s="26" t="n"/>
      <c r="G7" s="26" t="n"/>
      <c r="H7" s="26" t="n"/>
    </row>
    <row r="8" ht="50" customHeight="1">
      <c r="A8" s="27" t="inlineStr">
        <is>
          <t>B21   →   =INDEX(B13:E17,MATCH(B19,A13:A17,0),MATCH(B20,B12:E12,0))
B22   →   =XLOOKUP(B19,A13:A17,XLOOKUP(B20,B12:E12,B13:E17))
Expected result:  $28  (National, 10-20 kg)</t>
        </is>
      </c>
      <c r="B8" s="28" t="n"/>
      <c r="C8" s="28" t="n"/>
      <c r="D8" s="28" t="n"/>
      <c r="E8" s="28" t="n"/>
      <c r="F8" s="28" t="n"/>
      <c r="G8" s="28" t="n"/>
      <c r="H8" s="28" t="n"/>
    </row>
    <row r="9" ht="36" customHeight="1">
      <c r="A9" s="36" t="inlineStr">
        <is>
          <t>Note:  The PDF's XLOOKUP answer was =XLOOKUP(B8,A2:A6,D2:D6), which is hard-wired to column D. I used a nested XLOOKUP so it works for any weight bracket.</t>
        </is>
      </c>
      <c r="B9" s="37" t="n"/>
      <c r="C9" s="37" t="n"/>
      <c r="D9" s="37" t="n"/>
      <c r="E9" s="37" t="n"/>
      <c r="F9" s="37" t="n"/>
      <c r="G9" s="37" t="n"/>
      <c r="H9" s="37" t="n"/>
    </row>
    <row r="10" ht="6" customHeight="1"/>
    <row r="11" ht="20" customHeight="1">
      <c r="A11" s="29" t="inlineStr">
        <is>
          <t>PRACTICE SHEET  (yellow = input / lookup value,  green = your answer cell)</t>
        </is>
      </c>
      <c r="B11" s="30" t="n"/>
      <c r="C11" s="30" t="n"/>
      <c r="D11" s="30" t="n"/>
      <c r="E11" s="30" t="n"/>
      <c r="F11" s="30" t="n"/>
      <c r="G11" s="30" t="n"/>
      <c r="H11" s="30" t="n"/>
    </row>
    <row r="12">
      <c r="A12" s="31" t="inlineStr">
        <is>
          <t>Zone</t>
        </is>
      </c>
      <c r="B12" s="31" t="inlineStr">
        <is>
          <t>0-5 kg</t>
        </is>
      </c>
      <c r="C12" s="31" t="inlineStr">
        <is>
          <t>5-10 kg</t>
        </is>
      </c>
      <c r="D12" s="31" t="inlineStr">
        <is>
          <t>10-20 kg</t>
        </is>
      </c>
      <c r="E12" s="31" t="inlineStr">
        <is>
          <t>20+ kg</t>
        </is>
      </c>
    </row>
    <row r="13">
      <c r="A13" s="6" t="inlineStr">
        <is>
          <t>Local</t>
        </is>
      </c>
      <c r="B13" s="40" t="n">
        <v>5</v>
      </c>
      <c r="C13" s="40" t="n">
        <v>7</v>
      </c>
      <c r="D13" s="40" t="n">
        <v>10</v>
      </c>
      <c r="E13" s="40" t="n">
        <v>14</v>
      </c>
    </row>
    <row r="14">
      <c r="A14" s="6" t="inlineStr">
        <is>
          <t>Regional</t>
        </is>
      </c>
      <c r="B14" s="40" t="n">
        <v>9</v>
      </c>
      <c r="C14" s="40" t="n">
        <v>12</v>
      </c>
      <c r="D14" s="40" t="n">
        <v>16</v>
      </c>
      <c r="E14" s="40" t="n">
        <v>22</v>
      </c>
    </row>
    <row r="15">
      <c r="A15" s="6" t="inlineStr">
        <is>
          <t>National</t>
        </is>
      </c>
      <c r="B15" s="40" t="n">
        <v>14</v>
      </c>
      <c r="C15" s="40" t="n">
        <v>19</v>
      </c>
      <c r="D15" s="40" t="n">
        <v>28</v>
      </c>
      <c r="E15" s="40" t="n">
        <v>40</v>
      </c>
    </row>
    <row r="16">
      <c r="A16" s="6" t="inlineStr">
        <is>
          <t>International</t>
        </is>
      </c>
      <c r="B16" s="40" t="n">
        <v>24</v>
      </c>
      <c r="C16" s="40" t="n">
        <v>33</v>
      </c>
      <c r="D16" s="40" t="n">
        <v>48</v>
      </c>
      <c r="E16" s="40" t="n">
        <v>68</v>
      </c>
    </row>
    <row r="17">
      <c r="A17" s="6" t="inlineStr">
        <is>
          <t>Express</t>
        </is>
      </c>
      <c r="B17" s="40" t="n">
        <v>30</v>
      </c>
      <c r="C17" s="40" t="n">
        <v>42</v>
      </c>
      <c r="D17" s="40" t="n">
        <v>60</v>
      </c>
      <c r="E17" s="40" t="n">
        <v>85</v>
      </c>
    </row>
    <row r="19">
      <c r="A19" s="32" t="inlineStr">
        <is>
          <t>Lookup zone</t>
        </is>
      </c>
      <c r="B19" s="33" t="inlineStr">
        <is>
          <t>National</t>
        </is>
      </c>
    </row>
    <row r="20">
      <c r="A20" s="32" t="inlineStr">
        <is>
          <t>Lookup weight</t>
        </is>
      </c>
      <c r="B20" s="33" t="inlineStr">
        <is>
          <t>10-20 kg</t>
        </is>
      </c>
    </row>
    <row r="21">
      <c r="A21" s="32" t="inlineStr">
        <is>
          <t>Shipping rate</t>
        </is>
      </c>
      <c r="B21" s="41">
        <f>INDEX(B13:E17,MATCH(B19,A13:A17,0),MATCH(B20,B12:E12,0))</f>
        <v/>
      </c>
    </row>
    <row r="22">
      <c r="A22" s="32" t="inlineStr">
        <is>
          <t>Shipping rate (XLOOKUP)</t>
        </is>
      </c>
      <c r="B22" s="41">
        <f>_xlfn.XLOOKUP(B19,A13:A17,_xlfn.XLOOKUP(B20,B12:E12,B13:E17))</f>
        <v/>
      </c>
    </row>
  </sheetData>
  <mergeCells count="10">
    <mergeCell ref="A1:H1"/>
    <mergeCell ref="A4:H4"/>
    <mergeCell ref="A9:H9"/>
    <mergeCell ref="A3:H3"/>
    <mergeCell ref="A7:H7"/>
    <mergeCell ref="A2:H2"/>
    <mergeCell ref="A11:H11"/>
    <mergeCell ref="A5:H5"/>
    <mergeCell ref="A8:H8"/>
    <mergeCell ref="A6:H6"/>
  </mergeCells>
  <pageMargins left="0.75" right="0.75" top="1" bottom="1" header="0.5" footer="0.5"/>
  <pageSetup orientation="landscape" fitToHeight="0" fitToWidth="1"/>
</worksheet>
</file>

<file path=xl/worksheets/sheet12.xml><?xml version="1.0" encoding="utf-8"?>
<worksheet xmlns="http://schemas.openxmlformats.org/spreadsheetml/2006/main">
  <sheetPr>
    <tabColor rgb="00C00000"/>
    <outlinePr summaryBelow="1" summaryRight="1"/>
    <pageSetUpPr fitToPage="1"/>
  </sheetPr>
  <dimension ref="A1:H19"/>
  <sheetViews>
    <sheetView showGridLines="0" workbookViewId="0">
      <selection activeCell="A1" sqref="A1"/>
    </sheetView>
  </sheetViews>
  <sheetFormatPr baseColWidth="8" defaultRowHeight="15"/>
  <cols>
    <col width="14" customWidth="1" min="1" max="1"/>
    <col width="10" customWidth="1" min="2" max="2"/>
    <col width="10" customWidth="1" min="3" max="3"/>
    <col width="10" customWidth="1" min="4" max="4"/>
    <col width="10" customWidth="1" min="5" max="5"/>
    <col width="4" customWidth="1" min="6" max="6"/>
    <col width="18" customWidth="1" min="7" max="7"/>
    <col width="16" customWidth="1" min="8" max="8"/>
  </cols>
  <sheetData>
    <row r="1" ht="30" customHeight="1">
      <c r="A1" s="15" t="inlineStr">
        <is>
          <t>QUESTION 10  |  XLOOKUP with multiple criteria (two-way)</t>
        </is>
      </c>
      <c r="B1" s="16" t="n"/>
      <c r="C1" s="16" t="n"/>
      <c r="D1" s="16" t="n"/>
      <c r="E1" s="16" t="n"/>
      <c r="F1" s="16" t="n"/>
      <c r="G1" s="16" t="n"/>
      <c r="H1" s="16" t="n"/>
    </row>
    <row r="2" ht="20" customHeight="1">
      <c r="A2" s="17" t="inlineStr">
        <is>
          <t>Level: Advanced      Functions: XLOOKUP (nested)</t>
        </is>
      </c>
      <c r="B2" s="18" t="n"/>
      <c r="C2" s="18" t="n"/>
      <c r="D2" s="18" t="n"/>
      <c r="E2" s="18" t="n"/>
      <c r="F2" s="18" t="n"/>
      <c r="G2" s="18" t="n"/>
      <c r="H2" s="18" t="n"/>
    </row>
    <row r="3" ht="18" customHeight="1">
      <c r="A3" s="19" t="inlineStr">
        <is>
          <t>CONCEPT</t>
        </is>
      </c>
      <c r="B3" s="20" t="n"/>
      <c r="C3" s="20" t="n"/>
      <c r="D3" s="20" t="n"/>
      <c r="E3" s="20" t="n"/>
      <c r="F3" s="20" t="n"/>
      <c r="G3" s="20" t="n"/>
      <c r="H3" s="20" t="n"/>
    </row>
    <row r="4" ht="78" customHeight="1">
      <c r="A4" s="21" t="inlineStr">
        <is>
          <t>XLOOKUP is usually a single-criterion lookup, but you can nest it for a two-way lookup. The return_array of the outer XLOOKUP can itself be an XLOOKUP result.
=XLOOKUP(row_lookup, row_range, XLOOKUP(col_lookup, col_headers, data_range))
The inner XLOOKUP finds the correct column (returning a whole column of data); the outer XLOOKUP then finds the correct row inside that column.</t>
        </is>
      </c>
      <c r="B4" s="22" t="n"/>
      <c r="C4" s="22" t="n"/>
      <c r="D4" s="22" t="n"/>
      <c r="E4" s="22" t="n"/>
      <c r="F4" s="22" t="n"/>
      <c r="G4" s="22" t="n"/>
      <c r="H4" s="22" t="n"/>
    </row>
    <row r="5" ht="18" customHeight="1">
      <c r="A5" s="19" t="inlineStr">
        <is>
          <t>YOUR TASK</t>
        </is>
      </c>
      <c r="B5" s="20" t="n"/>
      <c r="C5" s="20" t="n"/>
      <c r="D5" s="20" t="n"/>
      <c r="E5" s="20" t="n"/>
      <c r="F5" s="20" t="n"/>
      <c r="G5" s="20" t="n"/>
      <c r="H5" s="20" t="n"/>
    </row>
    <row r="6" ht="92" customHeight="1">
      <c r="A6" s="23" t="inlineStr">
        <is>
          <t>1.  In cell H13, enter the product name "Widget D".
2.  In cell H14, enter the quarter "Q3".
3.  In cell H16, write a nested XLOOKUP that uses the product in H13 to find the row and the quarter in H14 to find the column.
4.  Return the price at the intersection. It should work for any product and quarter combination.</t>
        </is>
      </c>
      <c r="B6" s="24" t="n"/>
      <c r="C6" s="24" t="n"/>
      <c r="D6" s="24" t="n"/>
      <c r="E6" s="24" t="n"/>
      <c r="F6" s="24" t="n"/>
      <c r="G6" s="24" t="n"/>
      <c r="H6" s="24" t="n"/>
    </row>
    <row r="7" ht="18" customHeight="1">
      <c r="A7" s="25" t="inlineStr">
        <is>
          <t>ANSWER</t>
        </is>
      </c>
      <c r="B7" s="26" t="n"/>
      <c r="C7" s="26" t="n"/>
      <c r="D7" s="26" t="n"/>
      <c r="E7" s="26" t="n"/>
      <c r="F7" s="26" t="n"/>
      <c r="G7" s="26" t="n"/>
      <c r="H7" s="26" t="n"/>
    </row>
    <row r="8" ht="36" customHeight="1">
      <c r="A8" s="27" t="inlineStr">
        <is>
          <t>H16   →   =XLOOKUP(H13,A13:A19,XLOOKUP(H14,B12:E12,B13:E19))
Expected result:  44.00  (Widget D, Q3)</t>
        </is>
      </c>
      <c r="B8" s="28" t="n"/>
      <c r="C8" s="28" t="n"/>
      <c r="D8" s="28" t="n"/>
      <c r="E8" s="28" t="n"/>
      <c r="F8" s="28" t="n"/>
      <c r="G8" s="28" t="n"/>
      <c r="H8" s="28" t="n"/>
    </row>
    <row r="9" ht="22" customHeight="1">
      <c r="A9" s="36" t="inlineStr">
        <is>
          <t>Note:  The PDF answer was missing the leading '=' sign; it is included here.</t>
        </is>
      </c>
      <c r="B9" s="37" t="n"/>
      <c r="C9" s="37" t="n"/>
      <c r="D9" s="37" t="n"/>
      <c r="E9" s="37" t="n"/>
      <c r="F9" s="37" t="n"/>
      <c r="G9" s="37" t="n"/>
      <c r="H9" s="37" t="n"/>
    </row>
    <row r="10" ht="6" customHeight="1"/>
    <row r="11" ht="20" customHeight="1">
      <c r="A11" s="29" t="inlineStr">
        <is>
          <t>PRACTICE SHEET  (yellow = input / lookup value,  green = your answer cell)</t>
        </is>
      </c>
      <c r="B11" s="30" t="n"/>
      <c r="C11" s="30" t="n"/>
      <c r="D11" s="30" t="n"/>
      <c r="E11" s="30" t="n"/>
      <c r="F11" s="30" t="n"/>
      <c r="G11" s="30" t="n"/>
      <c r="H11" s="30" t="n"/>
    </row>
    <row r="12">
      <c r="A12" s="31" t="inlineStr">
        <is>
          <t>Product</t>
        </is>
      </c>
      <c r="B12" s="31" t="inlineStr">
        <is>
          <t>Q1</t>
        </is>
      </c>
      <c r="C12" s="31" t="inlineStr">
        <is>
          <t>Q2</t>
        </is>
      </c>
      <c r="D12" s="31" t="inlineStr">
        <is>
          <t>Q3</t>
        </is>
      </c>
      <c r="E12" s="31" t="inlineStr">
        <is>
          <t>Q4</t>
        </is>
      </c>
      <c r="G12" s="32" t="inlineStr">
        <is>
          <t>Find price for:</t>
        </is>
      </c>
    </row>
    <row r="13">
      <c r="A13" s="6" t="inlineStr">
        <is>
          <t>Widget A</t>
        </is>
      </c>
      <c r="B13" s="38" t="n">
        <v>25.99</v>
      </c>
      <c r="C13" s="38" t="n">
        <v>27.49</v>
      </c>
      <c r="D13" s="38" t="n">
        <v>26.99</v>
      </c>
      <c r="E13" s="38" t="n">
        <v>28.99</v>
      </c>
      <c r="G13" s="32" t="inlineStr">
        <is>
          <t>Product:</t>
        </is>
      </c>
      <c r="H13" s="33" t="inlineStr">
        <is>
          <t>Widget D</t>
        </is>
      </c>
    </row>
    <row r="14">
      <c r="A14" s="6" t="inlineStr">
        <is>
          <t>Widget B</t>
        </is>
      </c>
      <c r="B14" s="38" t="n">
        <v>34.5</v>
      </c>
      <c r="C14" s="38" t="n">
        <v>35</v>
      </c>
      <c r="D14" s="38" t="n">
        <v>36.25</v>
      </c>
      <c r="E14" s="38" t="n">
        <v>37</v>
      </c>
      <c r="G14" s="32" t="inlineStr">
        <is>
          <t>Quarter:</t>
        </is>
      </c>
      <c r="H14" s="33" t="inlineStr">
        <is>
          <t>Q3</t>
        </is>
      </c>
    </row>
    <row r="15">
      <c r="A15" s="6" t="inlineStr">
        <is>
          <t>Widget C</t>
        </is>
      </c>
      <c r="B15" s="38" t="n">
        <v>18.75</v>
      </c>
      <c r="C15" s="38" t="n">
        <v>19.25</v>
      </c>
      <c r="D15" s="38" t="n">
        <v>19</v>
      </c>
      <c r="E15" s="38" t="n">
        <v>20.5</v>
      </c>
    </row>
    <row r="16">
      <c r="A16" s="6" t="inlineStr">
        <is>
          <t>Widget D</t>
        </is>
      </c>
      <c r="B16" s="38" t="n">
        <v>42</v>
      </c>
      <c r="C16" s="38" t="n">
        <v>43.5</v>
      </c>
      <c r="D16" s="38" t="n">
        <v>44</v>
      </c>
      <c r="E16" s="38" t="n">
        <v>45.25</v>
      </c>
      <c r="G16" s="32" t="inlineStr">
        <is>
          <t>Price:</t>
        </is>
      </c>
      <c r="H16" s="39">
        <f>_xlfn.XLOOKUP(H13,A13:A19,_xlfn.XLOOKUP(H14,B12:E12,B13:E19))</f>
        <v/>
      </c>
    </row>
    <row r="17">
      <c r="A17" s="6" t="inlineStr">
        <is>
          <t>Widget E</t>
        </is>
      </c>
      <c r="B17" s="38" t="n">
        <v>56.99</v>
      </c>
      <c r="C17" s="38" t="n">
        <v>58.49</v>
      </c>
      <c r="D17" s="38" t="n">
        <v>59.99</v>
      </c>
      <c r="E17" s="38" t="n">
        <v>61.5</v>
      </c>
    </row>
    <row r="18">
      <c r="A18" s="6" t="inlineStr">
        <is>
          <t>Widget F</t>
        </is>
      </c>
      <c r="B18" s="38" t="n">
        <v>12.25</v>
      </c>
      <c r="C18" s="38" t="n">
        <v>12.75</v>
      </c>
      <c r="D18" s="38" t="n">
        <v>13</v>
      </c>
      <c r="E18" s="38" t="n">
        <v>13.5</v>
      </c>
    </row>
    <row r="19">
      <c r="A19" s="6" t="inlineStr">
        <is>
          <t>Widget G</t>
        </is>
      </c>
      <c r="B19" s="38" t="n">
        <v>89.98999999999999</v>
      </c>
      <c r="C19" s="38" t="n">
        <v>92.5</v>
      </c>
      <c r="D19" s="38" t="n">
        <v>94</v>
      </c>
      <c r="E19" s="38" t="n">
        <v>96.75</v>
      </c>
    </row>
  </sheetData>
  <mergeCells count="10">
    <mergeCell ref="A1:H1"/>
    <mergeCell ref="A4:H4"/>
    <mergeCell ref="A9:H9"/>
    <mergeCell ref="A3:H3"/>
    <mergeCell ref="A7:H7"/>
    <mergeCell ref="A2:H2"/>
    <mergeCell ref="A11:H11"/>
    <mergeCell ref="A5:H5"/>
    <mergeCell ref="A8:H8"/>
    <mergeCell ref="A6:H6"/>
  </mergeCells>
  <pageMargins left="0.75" right="0.75" top="1" bottom="1" header="0.5" footer="0.5"/>
  <pageSetup orientation="landscape" fitToHeight="0" fitToWidth="1"/>
</worksheet>
</file>

<file path=xl/worksheets/sheet13.xml><?xml version="1.0" encoding="utf-8"?>
<worksheet xmlns="http://schemas.openxmlformats.org/spreadsheetml/2006/main">
  <sheetPr>
    <tabColor rgb="00C00000"/>
    <outlinePr summaryBelow="1" summaryRight="1"/>
    <pageSetUpPr fitToPage="1"/>
  </sheetPr>
  <dimension ref="A1:H26"/>
  <sheetViews>
    <sheetView showGridLines="0" workbookViewId="0">
      <selection activeCell="A1" sqref="A1"/>
    </sheetView>
  </sheetViews>
  <sheetFormatPr baseColWidth="8" defaultRowHeight="15"/>
  <cols>
    <col width="14" customWidth="1" min="1" max="1"/>
    <col width="16" customWidth="1" min="2" max="2"/>
    <col width="30" customWidth="1" min="3" max="3"/>
    <col width="30" customWidth="1" min="4" max="4"/>
    <col width="14" customWidth="1" min="5" max="5"/>
    <col width="16" customWidth="1" min="6" max="6"/>
    <col width="16" customWidth="1" min="7" max="7"/>
    <col width="16" customWidth="1" min="8" max="8"/>
  </cols>
  <sheetData>
    <row r="1" ht="30" customHeight="1">
      <c r="A1" s="15" t="inlineStr">
        <is>
          <t>QUESTION 11  |  Return multiple columns</t>
        </is>
      </c>
      <c r="B1" s="16" t="n"/>
      <c r="C1" s="16" t="n"/>
      <c r="D1" s="16" t="n"/>
      <c r="E1" s="16" t="n"/>
      <c r="F1" s="16" t="n"/>
      <c r="G1" s="16" t="n"/>
      <c r="H1" s="16" t="n"/>
    </row>
    <row r="2" ht="20" customHeight="1">
      <c r="A2" s="17" t="inlineStr">
        <is>
          <t>Level: Advanced      Functions: XLOOKUP (multi-column return)</t>
        </is>
      </c>
      <c r="B2" s="18" t="n"/>
      <c r="C2" s="18" t="n"/>
      <c r="D2" s="18" t="n"/>
      <c r="E2" s="18" t="n"/>
      <c r="F2" s="18" t="n"/>
      <c r="G2" s="18" t="n"/>
      <c r="H2" s="18" t="n"/>
    </row>
    <row r="3" ht="18" customHeight="1">
      <c r="A3" s="19" t="inlineStr">
        <is>
          <t>CONCEPT</t>
        </is>
      </c>
      <c r="B3" s="20" t="n"/>
      <c r="C3" s="20" t="n"/>
      <c r="D3" s="20" t="n"/>
      <c r="E3" s="20" t="n"/>
      <c r="F3" s="20" t="n"/>
      <c r="G3" s="20" t="n"/>
      <c r="H3" s="20" t="n"/>
    </row>
    <row r="4" ht="50" customHeight="1">
      <c r="A4" s="21" t="inlineStr">
        <is>
          <t>In analytical datasets you rarely look up a single field; more often you pull a small 'record' (several columns) for an ID. XLOOKUP's return_array can cover several columns, so one formula returns the whole record and spills across the row.
=XLOOKUP(lookup_value, lookup_column, return_columns)</t>
        </is>
      </c>
      <c r="B4" s="22" t="n"/>
      <c r="C4" s="22" t="n"/>
      <c r="D4" s="22" t="n"/>
      <c r="E4" s="22" t="n"/>
      <c r="F4" s="22" t="n"/>
      <c r="G4" s="22" t="n"/>
      <c r="H4" s="22" t="n"/>
    </row>
    <row r="5" ht="18" customHeight="1">
      <c r="A5" s="19" t="inlineStr">
        <is>
          <t>YOUR TASK</t>
        </is>
      </c>
      <c r="B5" s="20" t="n"/>
      <c r="C5" s="20" t="n"/>
      <c r="D5" s="20" t="n"/>
      <c r="E5" s="20" t="n"/>
      <c r="F5" s="20" t="n"/>
      <c r="G5" s="20" t="n"/>
      <c r="H5" s="20" t="n"/>
    </row>
    <row r="6" ht="64" customHeight="1">
      <c r="A6" s="23" t="inlineStr">
        <is>
          <t>1.  The customer table is in A20:E26. The lookup key is Customer ID (column A); the fields to return are Name, Email, Phone (columns B–D).
2.  Write a single formula in C16 that uses the Customer ID in B14 as the lookup value.
3.  It must return Name, Email and Phone as a horizontal array spilling across C16:E16, pulled from the table (no hardcoded details).
4.  It must keep working if B14 changes to any other valid ID.</t>
        </is>
      </c>
      <c r="B6" s="24" t="n"/>
      <c r="C6" s="24" t="n"/>
      <c r="D6" s="24" t="n"/>
      <c r="E6" s="24" t="n"/>
      <c r="F6" s="24" t="n"/>
      <c r="G6" s="24" t="n"/>
      <c r="H6" s="24" t="n"/>
    </row>
    <row r="7" ht="18" customHeight="1">
      <c r="A7" s="25" t="inlineStr">
        <is>
          <t>ANSWER</t>
        </is>
      </c>
      <c r="B7" s="26" t="n"/>
      <c r="C7" s="26" t="n"/>
      <c r="D7" s="26" t="n"/>
      <c r="E7" s="26" t="n"/>
      <c r="F7" s="26" t="n"/>
      <c r="G7" s="26" t="n"/>
      <c r="H7" s="26" t="n"/>
    </row>
    <row r="8" ht="36" customHeight="1">
      <c r="A8" s="27" t="inlineStr">
        <is>
          <t>C16:E16   →   =XLOOKUP(B14,A20:A26,B20:D26)     (spills across the range)
Expected result:  Keira Lewis  |  keira.lewis@northwind.com  |  (555) 010-1188</t>
        </is>
      </c>
      <c r="B8" s="28" t="n"/>
      <c r="C8" s="28" t="n"/>
      <c r="D8" s="28" t="n"/>
      <c r="E8" s="28" t="n"/>
      <c r="F8" s="28" t="n"/>
      <c r="G8" s="28" t="n"/>
      <c r="H8" s="28" t="n"/>
    </row>
    <row r="9" ht="36" customHeight="1">
      <c r="A9" s="36" t="inlineStr">
        <is>
          <t>Note:  Stored as a multi-cell array formula over the result row so it works in any Excel with XLOOKUP. In Excel 365 you can also retype it in the first result cell and it will spill by itself.</t>
        </is>
      </c>
      <c r="B9" s="37" t="n"/>
      <c r="C9" s="37" t="n"/>
      <c r="D9" s="37" t="n"/>
      <c r="E9" s="37" t="n"/>
      <c r="F9" s="37" t="n"/>
      <c r="G9" s="37" t="n"/>
      <c r="H9" s="37" t="n"/>
    </row>
    <row r="10" ht="6" customHeight="1"/>
    <row r="11" ht="20" customHeight="1">
      <c r="A11" s="29" t="inlineStr">
        <is>
          <t>PRACTICE SHEET  (yellow = input / lookup value,  green = your answer cell)</t>
        </is>
      </c>
      <c r="B11" s="30" t="n"/>
      <c r="C11" s="30" t="n"/>
      <c r="D11" s="30" t="n"/>
      <c r="E11" s="30" t="n"/>
      <c r="F11" s="30" t="n"/>
      <c r="G11" s="30" t="n"/>
      <c r="H11" s="30" t="n"/>
    </row>
    <row r="12">
      <c r="A12" s="42" t="inlineStr">
        <is>
          <t>Customer Lookup</t>
        </is>
      </c>
    </row>
    <row r="13">
      <c r="A13" s="43" t="inlineStr">
        <is>
          <t>Look up a customer ID and return Name, Email and Phone in one spilled row.</t>
        </is>
      </c>
    </row>
    <row r="14">
      <c r="A14" s="32" t="inlineStr">
        <is>
          <t>Customer ID</t>
        </is>
      </c>
      <c r="B14" s="33" t="n">
        <v>1004</v>
      </c>
    </row>
    <row r="15">
      <c r="C15" s="31" t="inlineStr">
        <is>
          <t>Name</t>
        </is>
      </c>
      <c r="D15" s="31" t="inlineStr">
        <is>
          <t>Email</t>
        </is>
      </c>
      <c r="E15" s="31" t="inlineStr">
        <is>
          <t>Phone</t>
        </is>
      </c>
    </row>
    <row r="16">
      <c r="A16" s="32" t="inlineStr">
        <is>
          <t>Result</t>
        </is>
      </c>
      <c r="C16" s="34">
        <f t="array" ref="C16:E16">_xlfn.XLOOKUP(B14,A20:A26,B20:D26)</f>
        <v/>
      </c>
      <c r="D16" s="34" t="n"/>
      <c r="E16" s="34" t="n"/>
    </row>
    <row r="18">
      <c r="A18" s="42" t="inlineStr">
        <is>
          <t>Customer Table</t>
        </is>
      </c>
    </row>
    <row r="19">
      <c r="A19" s="31" t="inlineStr">
        <is>
          <t>Customer ID</t>
        </is>
      </c>
      <c r="B19" s="31" t="inlineStr">
        <is>
          <t>Name</t>
        </is>
      </c>
      <c r="C19" s="31" t="inlineStr">
        <is>
          <t>Email</t>
        </is>
      </c>
      <c r="D19" s="31" t="inlineStr">
        <is>
          <t>Phone</t>
        </is>
      </c>
      <c r="E19" s="31" t="inlineStr">
        <is>
          <t>Segment</t>
        </is>
      </c>
    </row>
    <row r="20">
      <c r="A20" s="35" t="n">
        <v>1001</v>
      </c>
      <c r="B20" s="6" t="inlineStr">
        <is>
          <t>Ava Patel</t>
        </is>
      </c>
      <c r="C20" s="6" t="inlineStr">
        <is>
          <t>ava.patel@northwind.com</t>
        </is>
      </c>
      <c r="D20" s="6" t="inlineStr">
        <is>
          <t>(555) 010-0421</t>
        </is>
      </c>
      <c r="E20" s="6" t="inlineStr">
        <is>
          <t>Standard</t>
        </is>
      </c>
    </row>
    <row r="21">
      <c r="A21" s="35" t="n">
        <v>1002</v>
      </c>
      <c r="B21" s="6" t="inlineStr">
        <is>
          <t>Noah Kim</t>
        </is>
      </c>
      <c r="C21" s="6" t="inlineStr">
        <is>
          <t>noah.kim@northwind.com</t>
        </is>
      </c>
      <c r="D21" s="6" t="inlineStr">
        <is>
          <t>(555) 010-0673</t>
        </is>
      </c>
      <c r="E21" s="6" t="inlineStr">
        <is>
          <t>Standard</t>
        </is>
      </c>
    </row>
    <row r="22">
      <c r="A22" s="35" t="n">
        <v>1003</v>
      </c>
      <c r="B22" s="6" t="inlineStr">
        <is>
          <t>Sofia Martinez</t>
        </is>
      </c>
      <c r="C22" s="6" t="inlineStr">
        <is>
          <t>sofia.martinez@northwind.com</t>
        </is>
      </c>
      <c r="D22" s="6" t="inlineStr">
        <is>
          <t>(555) 010-0905</t>
        </is>
      </c>
      <c r="E22" s="6" t="inlineStr">
        <is>
          <t>Premium</t>
        </is>
      </c>
    </row>
    <row r="23">
      <c r="A23" s="35" t="n">
        <v>1004</v>
      </c>
      <c r="B23" s="6" t="inlineStr">
        <is>
          <t>Keira Lewis</t>
        </is>
      </c>
      <c r="C23" s="6" t="inlineStr">
        <is>
          <t>keira.lewis@northwind.com</t>
        </is>
      </c>
      <c r="D23" s="6" t="inlineStr">
        <is>
          <t>(555) 010-1188</t>
        </is>
      </c>
      <c r="E23" s="6" t="inlineStr">
        <is>
          <t>Premium</t>
        </is>
      </c>
    </row>
    <row r="24">
      <c r="A24" s="35" t="n">
        <v>1005</v>
      </c>
      <c r="B24" s="6" t="inlineStr">
        <is>
          <t>Liam Chen</t>
        </is>
      </c>
      <c r="C24" s="6" t="inlineStr">
        <is>
          <t>liam.chen@northwind.com</t>
        </is>
      </c>
      <c r="D24" s="6" t="inlineStr">
        <is>
          <t>(555) 010-1430</t>
        </is>
      </c>
      <c r="E24" s="6" t="inlineStr">
        <is>
          <t>Standard</t>
        </is>
      </c>
    </row>
    <row r="25">
      <c r="A25" s="35" t="n">
        <v>1006</v>
      </c>
      <c r="B25" s="6" t="inlineStr">
        <is>
          <t>Maya Singh</t>
        </is>
      </c>
      <c r="C25" s="6" t="inlineStr">
        <is>
          <t>maya.singh@northwind.com</t>
        </is>
      </c>
      <c r="D25" s="6" t="inlineStr">
        <is>
          <t>(555) 010-1762</t>
        </is>
      </c>
      <c r="E25" s="6" t="inlineStr">
        <is>
          <t>Standard</t>
        </is>
      </c>
    </row>
    <row r="26">
      <c r="A26" s="35" t="n">
        <v>1007</v>
      </c>
      <c r="B26" s="6" t="inlineStr">
        <is>
          <t>Ethan Brooks</t>
        </is>
      </c>
      <c r="C26" s="6" t="inlineStr">
        <is>
          <t>ethan.brooks@northwind.com</t>
        </is>
      </c>
      <c r="D26" s="6" t="inlineStr">
        <is>
          <t>(555) 010-2014</t>
        </is>
      </c>
      <c r="E26" s="6" t="inlineStr">
        <is>
          <t>Enterprise</t>
        </is>
      </c>
    </row>
  </sheetData>
  <mergeCells count="10">
    <mergeCell ref="A1:H1"/>
    <mergeCell ref="A4:H4"/>
    <mergeCell ref="A9:H9"/>
    <mergeCell ref="A3:H3"/>
    <mergeCell ref="A7:H7"/>
    <mergeCell ref="A2:H2"/>
    <mergeCell ref="A11:H11"/>
    <mergeCell ref="A5:H5"/>
    <mergeCell ref="A8:H8"/>
    <mergeCell ref="A6:H6"/>
  </mergeCells>
  <pageMargins left="0.75" right="0.75" top="1" bottom="1" header="0.5" footer="0.5"/>
  <pageSetup orientation="landscape" fitToHeight="0" fitToWidth="1"/>
</worksheet>
</file>

<file path=xl/worksheets/sheet14.xml><?xml version="1.0" encoding="utf-8"?>
<worksheet xmlns="http://schemas.openxmlformats.org/spreadsheetml/2006/main">
  <sheetPr>
    <tabColor rgb="0070AD47"/>
    <outlinePr summaryBelow="1" summaryRight="1"/>
    <pageSetUpPr fitToPage="1"/>
  </sheetPr>
  <dimension ref="A1:H20"/>
  <sheetViews>
    <sheetView showGridLines="0" workbookViewId="0">
      <selection activeCell="A1" sqref="A1"/>
    </sheetView>
  </sheetViews>
  <sheetFormatPr baseColWidth="8" defaultRowHeight="15"/>
  <cols>
    <col width="18" customWidth="1" min="1" max="1"/>
    <col width="18" customWidth="1" min="2" max="2"/>
    <col width="16" customWidth="1" min="3" max="3"/>
    <col width="16" customWidth="1" min="4" max="4"/>
    <col width="16" customWidth="1" min="5" max="5"/>
    <col width="16" customWidth="1" min="6" max="6"/>
    <col width="16" customWidth="1" min="7" max="7"/>
    <col width="16" customWidth="1" min="8" max="8"/>
  </cols>
  <sheetData>
    <row r="1" ht="30" customHeight="1">
      <c r="A1" s="15" t="inlineStr">
        <is>
          <t>QUESTION 12  |  VLOOKUP for price</t>
        </is>
      </c>
      <c r="B1" s="16" t="n"/>
      <c r="C1" s="16" t="n"/>
      <c r="D1" s="16" t="n"/>
      <c r="E1" s="16" t="n"/>
      <c r="F1" s="16" t="n"/>
      <c r="G1" s="16" t="n"/>
      <c r="H1" s="16" t="n"/>
    </row>
    <row r="2" ht="20" customHeight="1">
      <c r="A2" s="17" t="inlineStr">
        <is>
          <t>Level: Beginner      Functions: VLOOKUP</t>
        </is>
      </c>
      <c r="B2" s="18" t="n"/>
      <c r="C2" s="18" t="n"/>
      <c r="D2" s="18" t="n"/>
      <c r="E2" s="18" t="n"/>
      <c r="F2" s="18" t="n"/>
      <c r="G2" s="18" t="n"/>
      <c r="H2" s="18" t="n"/>
    </row>
    <row r="3" ht="18" customHeight="1">
      <c r="A3" s="19" t="inlineStr">
        <is>
          <t>CONCEPT</t>
        </is>
      </c>
      <c r="B3" s="20" t="n"/>
      <c r="C3" s="20" t="n"/>
      <c r="D3" s="20" t="n"/>
      <c r="E3" s="20" t="n"/>
      <c r="F3" s="20" t="n"/>
      <c r="G3" s="20" t="n"/>
      <c r="H3" s="20" t="n"/>
    </row>
    <row r="4" ht="50" customHeight="1">
      <c r="A4" s="21" t="inlineStr">
        <is>
          <t>A common task is pulling a price from a product catalog using a product code. VLOOKUP searches the first column of a table and returns a value from another column in the same row.
Syntax: =VLOOKUP(lookup_value, table_array, col_index_num, [range_lookup])</t>
        </is>
      </c>
      <c r="B4" s="22" t="n"/>
      <c r="C4" s="22" t="n"/>
      <c r="D4" s="22" t="n"/>
      <c r="E4" s="22" t="n"/>
      <c r="F4" s="22" t="n"/>
      <c r="G4" s="22" t="n"/>
      <c r="H4" s="22" t="n"/>
    </row>
    <row r="5" ht="18" customHeight="1">
      <c r="A5" s="19" t="inlineStr">
        <is>
          <t>YOUR TASK</t>
        </is>
      </c>
      <c r="B5" s="20" t="n"/>
      <c r="C5" s="20" t="n"/>
      <c r="D5" s="20" t="n"/>
      <c r="E5" s="20" t="n"/>
      <c r="F5" s="20" t="n"/>
      <c r="G5" s="20" t="n"/>
      <c r="H5" s="20" t="n"/>
    </row>
    <row r="6" ht="78" customHeight="1">
      <c r="A6" s="23" t="inlineStr">
        <is>
          <t>1.  Look at the product catalog in cells A13:C17.
2.  Click cell B20 (Unit price).
3.  Use VLOOKUP to find the price for the product code in A20.
4.  Use the catalog range A13:C17 as your table and return the 3rd column (Unit price).
5.  Use an exact match lookup (FALSE).</t>
        </is>
      </c>
      <c r="B6" s="24" t="n"/>
      <c r="C6" s="24" t="n"/>
      <c r="D6" s="24" t="n"/>
      <c r="E6" s="24" t="n"/>
      <c r="F6" s="24" t="n"/>
      <c r="G6" s="24" t="n"/>
      <c r="H6" s="24" t="n"/>
    </row>
    <row r="7" ht="18" customHeight="1">
      <c r="A7" s="25" t="inlineStr">
        <is>
          <t>ANSWER</t>
        </is>
      </c>
      <c r="B7" s="26" t="n"/>
      <c r="C7" s="26" t="n"/>
      <c r="D7" s="26" t="n"/>
      <c r="E7" s="26" t="n"/>
      <c r="F7" s="26" t="n"/>
      <c r="G7" s="26" t="n"/>
      <c r="H7" s="26" t="n"/>
    </row>
    <row r="8" ht="36" customHeight="1">
      <c r="A8" s="27" t="inlineStr">
        <is>
          <t>B20   →   =VLOOKUP(A20,A13:C17,3,FALSE)
Expected result:  $7.99</t>
        </is>
      </c>
      <c r="B8" s="28" t="n"/>
      <c r="C8" s="28" t="n"/>
      <c r="D8" s="28" t="n"/>
      <c r="E8" s="28" t="n"/>
      <c r="F8" s="28" t="n"/>
      <c r="G8" s="28" t="n"/>
      <c r="H8" s="28" t="n"/>
    </row>
    <row r="9" ht="36" customHeight="1">
      <c r="A9" s="36" t="inlineStr">
        <is>
          <t>Note:  The PDF answer (=VLOOKUP(A5,A1:C6,3,1)) pointed to the wrong cell, included the header row and used approximate match. Corrected here to follow the task steps.</t>
        </is>
      </c>
      <c r="B9" s="37" t="n"/>
      <c r="C9" s="37" t="n"/>
      <c r="D9" s="37" t="n"/>
      <c r="E9" s="37" t="n"/>
      <c r="F9" s="37" t="n"/>
      <c r="G9" s="37" t="n"/>
      <c r="H9" s="37" t="n"/>
    </row>
    <row r="10" ht="6" customHeight="1"/>
    <row r="11" ht="20" customHeight="1">
      <c r="A11" s="29" t="inlineStr">
        <is>
          <t>PRACTICE SHEET  (yellow = input / lookup value,  green = your answer cell)</t>
        </is>
      </c>
      <c r="B11" s="30" t="n"/>
      <c r="C11" s="30" t="n"/>
      <c r="D11" s="30" t="n"/>
      <c r="E11" s="30" t="n"/>
      <c r="F11" s="30" t="n"/>
      <c r="G11" s="30" t="n"/>
      <c r="H11" s="30" t="n"/>
    </row>
    <row r="12">
      <c r="A12" s="31" t="inlineStr">
        <is>
          <t>Product code</t>
        </is>
      </c>
      <c r="B12" s="31" t="inlineStr">
        <is>
          <t>Product</t>
        </is>
      </c>
      <c r="C12" s="31" t="inlineStr">
        <is>
          <t>Unit price ($)</t>
        </is>
      </c>
    </row>
    <row r="13">
      <c r="A13" s="6" t="inlineStr">
        <is>
          <t>P-1001</t>
        </is>
      </c>
      <c r="B13" s="6" t="inlineStr">
        <is>
          <t>Notebook</t>
        </is>
      </c>
      <c r="C13" s="44" t="n">
        <v>3.5</v>
      </c>
    </row>
    <row r="14">
      <c r="A14" s="6" t="inlineStr">
        <is>
          <t>P-1002</t>
        </is>
      </c>
      <c r="B14" s="6" t="inlineStr">
        <is>
          <t>Pen</t>
        </is>
      </c>
      <c r="C14" s="44" t="n">
        <v>1.25</v>
      </c>
    </row>
    <row r="15">
      <c r="A15" s="6" t="inlineStr">
        <is>
          <t>P-1003</t>
        </is>
      </c>
      <c r="B15" s="6" t="inlineStr">
        <is>
          <t>Marker</t>
        </is>
      </c>
      <c r="C15" s="44" t="n">
        <v>2</v>
      </c>
    </row>
    <row r="16">
      <c r="A16" s="6" t="inlineStr">
        <is>
          <t>P-1004</t>
        </is>
      </c>
      <c r="B16" s="6" t="inlineStr">
        <is>
          <t>Stapler</t>
        </is>
      </c>
      <c r="C16" s="44" t="n">
        <v>7.99</v>
      </c>
    </row>
    <row r="17">
      <c r="A17" s="6" t="inlineStr">
        <is>
          <t>P-1005</t>
        </is>
      </c>
      <c r="B17" s="6" t="inlineStr">
        <is>
          <t>Tape dispenser</t>
        </is>
      </c>
      <c r="C17" s="44" t="n">
        <v>4.6</v>
      </c>
    </row>
    <row r="18">
      <c r="A18" s="45" t="inlineStr">
        <is>
          <t>Order lookup</t>
        </is>
      </c>
    </row>
    <row r="19">
      <c r="A19" s="31" t="inlineStr">
        <is>
          <t>Product code</t>
        </is>
      </c>
      <c r="B19" s="31" t="inlineStr">
        <is>
          <t>Unit price ($)</t>
        </is>
      </c>
    </row>
    <row r="20">
      <c r="A20" s="33" t="inlineStr">
        <is>
          <t>P-1004</t>
        </is>
      </c>
      <c r="B20" s="46">
        <f>VLOOKUP(A20,A13:C17,3,FALSE)</f>
        <v/>
      </c>
    </row>
  </sheetData>
  <mergeCells count="10">
    <mergeCell ref="A1:H1"/>
    <mergeCell ref="A4:H4"/>
    <mergeCell ref="A9:H9"/>
    <mergeCell ref="A3:H3"/>
    <mergeCell ref="A7:H7"/>
    <mergeCell ref="A2:H2"/>
    <mergeCell ref="A11:H11"/>
    <mergeCell ref="A5:H5"/>
    <mergeCell ref="A8:H8"/>
    <mergeCell ref="A6:H6"/>
  </mergeCells>
  <pageMargins left="0.75" right="0.75" top="1" bottom="1" header="0.5" footer="0.5"/>
  <pageSetup orientation="landscape" fitToHeight="0" fitToWidth="1"/>
</worksheet>
</file>

<file path=xl/worksheets/sheet15.xml><?xml version="1.0" encoding="utf-8"?>
<worksheet xmlns="http://schemas.openxmlformats.org/spreadsheetml/2006/main">
  <sheetPr>
    <tabColor rgb="0070AD47"/>
    <outlinePr summaryBelow="1" summaryRight="1"/>
    <pageSetUpPr fitToPage="1"/>
  </sheetPr>
  <dimension ref="A1:H25"/>
  <sheetViews>
    <sheetView showGridLines="0" workbookViewId="0">
      <selection activeCell="A1" sqref="A1"/>
    </sheetView>
  </sheetViews>
  <sheetFormatPr baseColWidth="8" defaultRowHeight="15"/>
  <cols>
    <col width="18" customWidth="1" min="1" max="1"/>
    <col width="24" customWidth="1" min="2" max="2"/>
    <col width="16" customWidth="1" min="3" max="3"/>
    <col width="16" customWidth="1" min="4" max="4"/>
    <col width="16" customWidth="1" min="5" max="5"/>
    <col width="16" customWidth="1" min="6" max="6"/>
    <col width="16" customWidth="1" min="7" max="7"/>
    <col width="16" customWidth="1" min="8" max="8"/>
  </cols>
  <sheetData>
    <row r="1" ht="30" customHeight="1">
      <c r="A1" s="15" t="inlineStr">
        <is>
          <t>QUESTION 13  |  Use VLOOKUP to find an employee's department</t>
        </is>
      </c>
      <c r="B1" s="16" t="n"/>
      <c r="C1" s="16" t="n"/>
      <c r="D1" s="16" t="n"/>
      <c r="E1" s="16" t="n"/>
      <c r="F1" s="16" t="n"/>
      <c r="G1" s="16" t="n"/>
      <c r="H1" s="16" t="n"/>
    </row>
    <row r="2" ht="20" customHeight="1">
      <c r="A2" s="17" t="inlineStr">
        <is>
          <t>Level: Beginner      Functions: VLOOKUP</t>
        </is>
      </c>
      <c r="B2" s="18" t="n"/>
      <c r="C2" s="18" t="n"/>
      <c r="D2" s="18" t="n"/>
      <c r="E2" s="18" t="n"/>
      <c r="F2" s="18" t="n"/>
      <c r="G2" s="18" t="n"/>
      <c r="H2" s="18" t="n"/>
    </row>
    <row r="3" ht="18" customHeight="1">
      <c r="A3" s="19" t="inlineStr">
        <is>
          <t>CONCEPT</t>
        </is>
      </c>
      <c r="B3" s="20" t="n"/>
      <c r="C3" s="20" t="n"/>
      <c r="D3" s="20" t="n"/>
      <c r="E3" s="20" t="n"/>
      <c r="F3" s="20" t="n"/>
      <c r="G3" s="20" t="n"/>
      <c r="H3" s="20" t="n"/>
    </row>
    <row r="4" ht="50" customHeight="1">
      <c r="A4" s="21" t="inlineStr">
        <is>
          <t>Many organizations keep a simple employee directory (ID → department). Instead of searching manually, VLOOKUP pulls the right department automatically.
Syntax: =VLOOKUP(lookup_value, table_array, col_index_num, [range_lookup])</t>
        </is>
      </c>
      <c r="B4" s="22" t="n"/>
      <c r="C4" s="22" t="n"/>
      <c r="D4" s="22" t="n"/>
      <c r="E4" s="22" t="n"/>
      <c r="F4" s="22" t="n"/>
      <c r="G4" s="22" t="n"/>
      <c r="H4" s="22" t="n"/>
    </row>
    <row r="5" ht="18" customHeight="1">
      <c r="A5" s="19" t="inlineStr">
        <is>
          <t>YOUR TASK</t>
        </is>
      </c>
      <c r="B5" s="20" t="n"/>
      <c r="C5" s="20" t="n"/>
      <c r="D5" s="20" t="n"/>
      <c r="E5" s="20" t="n"/>
      <c r="F5" s="20" t="n"/>
      <c r="G5" s="20" t="n"/>
      <c r="H5" s="20" t="n"/>
    </row>
    <row r="6" ht="64" customHeight="1">
      <c r="A6" s="23" t="inlineStr">
        <is>
          <t>1.  Click cell B22.
2.  Type a VLOOKUP formula that uses the employee ID in A22 and searches the directory in A14:B18.
3.  Return the Department (the 2nd column of the directory table) with an exact match.
4.  Lock the directory range with $ and copy the formula down from B22 to B25.</t>
        </is>
      </c>
      <c r="B6" s="24" t="n"/>
      <c r="C6" s="24" t="n"/>
      <c r="D6" s="24" t="n"/>
      <c r="E6" s="24" t="n"/>
      <c r="F6" s="24" t="n"/>
      <c r="G6" s="24" t="n"/>
      <c r="H6" s="24" t="n"/>
    </row>
    <row r="7" ht="18" customHeight="1">
      <c r="A7" s="25" t="inlineStr">
        <is>
          <t>ANSWER</t>
        </is>
      </c>
      <c r="B7" s="26" t="n"/>
      <c r="C7" s="26" t="n"/>
      <c r="D7" s="26" t="n"/>
      <c r="E7" s="26" t="n"/>
      <c r="F7" s="26" t="n"/>
      <c r="G7" s="26" t="n"/>
      <c r="H7" s="26" t="n"/>
    </row>
    <row r="8" ht="36" customHeight="1">
      <c r="A8" s="27" t="inlineStr">
        <is>
          <t>B22   →   =VLOOKUP(A22,$A$14:$B$18,2,FALSE)     (copy down to B14)
Expected result:  HR, Payroll, IT, Finance  (B11:B14)</t>
        </is>
      </c>
      <c r="B8" s="28" t="n"/>
      <c r="C8" s="28" t="n"/>
      <c r="D8" s="28" t="n"/>
      <c r="E8" s="28" t="n"/>
      <c r="F8" s="28" t="n"/>
      <c r="G8" s="28" t="n"/>
      <c r="H8" s="28" t="n"/>
    </row>
    <row r="9" ht="4" customHeight="1"/>
    <row r="10" ht="6" customHeight="1"/>
    <row r="11" ht="20" customHeight="1">
      <c r="A11" s="29" t="inlineStr">
        <is>
          <t>PRACTICE SHEET  (yellow = input / lookup value,  green = your answer cell)</t>
        </is>
      </c>
      <c r="B11" s="30" t="n"/>
      <c r="C11" s="30" t="n"/>
      <c r="D11" s="30" t="n"/>
      <c r="E11" s="30" t="n"/>
      <c r="F11" s="30" t="n"/>
      <c r="G11" s="30" t="n"/>
      <c r="H11" s="30" t="n"/>
    </row>
    <row r="12">
      <c r="A12" s="45" t="inlineStr">
        <is>
          <t>Directory</t>
        </is>
      </c>
    </row>
    <row r="13">
      <c r="A13" s="31" t="inlineStr">
        <is>
          <t>Employee ID</t>
        </is>
      </c>
      <c r="B13" s="31" t="inlineStr">
        <is>
          <t>Department</t>
        </is>
      </c>
    </row>
    <row r="14">
      <c r="A14" s="35" t="n">
        <v>1040</v>
      </c>
      <c r="B14" s="6" t="inlineStr">
        <is>
          <t>Finance</t>
        </is>
      </c>
    </row>
    <row r="15">
      <c r="A15" s="35" t="n">
        <v>1042</v>
      </c>
      <c r="B15" s="6" t="inlineStr">
        <is>
          <t>HR</t>
        </is>
      </c>
    </row>
    <row r="16">
      <c r="A16" s="35" t="n">
        <v>1051</v>
      </c>
      <c r="B16" s="6" t="inlineStr">
        <is>
          <t>IT</t>
        </is>
      </c>
    </row>
    <row r="17">
      <c r="A17" s="35" t="n">
        <v>1063</v>
      </c>
      <c r="B17" s="6" t="inlineStr">
        <is>
          <t>Operations</t>
        </is>
      </c>
    </row>
    <row r="18">
      <c r="A18" s="35" t="n">
        <v>1038</v>
      </c>
      <c r="B18" s="6" t="inlineStr">
        <is>
          <t>Payroll</t>
        </is>
      </c>
    </row>
    <row r="20">
      <c r="A20" s="45" t="inlineStr">
        <is>
          <t>Lookup</t>
        </is>
      </c>
    </row>
    <row r="21">
      <c r="A21" s="31" t="inlineStr">
        <is>
          <t>Employee ID</t>
        </is>
      </c>
      <c r="B21" s="31" t="inlineStr">
        <is>
          <t>Department (fill this)</t>
        </is>
      </c>
    </row>
    <row r="22">
      <c r="A22" s="35" t="n">
        <v>1042</v>
      </c>
      <c r="B22" s="34">
        <f>VLOOKUP(A22,$A$14:$B$18,2,FALSE)</f>
        <v/>
      </c>
    </row>
    <row r="23">
      <c r="A23" s="35" t="n">
        <v>1038</v>
      </c>
      <c r="B23" s="34">
        <f>VLOOKUP(A23,$A$14:$B$18,2,FALSE)</f>
        <v/>
      </c>
    </row>
    <row r="24">
      <c r="A24" s="35" t="n">
        <v>1051</v>
      </c>
      <c r="B24" s="34">
        <f>VLOOKUP(A24,$A$14:$B$18,2,FALSE)</f>
        <v/>
      </c>
    </row>
    <row r="25">
      <c r="A25" s="35" t="n">
        <v>1040</v>
      </c>
      <c r="B25" s="34">
        <f>VLOOKUP(A25,$A$14:$B$18,2,FALSE)</f>
        <v/>
      </c>
    </row>
  </sheetData>
  <mergeCells count="9">
    <mergeCell ref="A1:H1"/>
    <mergeCell ref="A4:H4"/>
    <mergeCell ref="A3:H3"/>
    <mergeCell ref="A7:H7"/>
    <mergeCell ref="A2:H2"/>
    <mergeCell ref="A11:H11"/>
    <mergeCell ref="A5:H5"/>
    <mergeCell ref="A8:H8"/>
    <mergeCell ref="A6:H6"/>
  </mergeCells>
  <pageMargins left="0.75" right="0.75" top="1" bottom="1" header="0.5" footer="0.5"/>
  <pageSetup orientation="landscape" fitToHeight="0" fitToWidth="1"/>
</worksheet>
</file>

<file path=xl/worksheets/sheet16.xml><?xml version="1.0" encoding="utf-8"?>
<worksheet xmlns="http://schemas.openxmlformats.org/spreadsheetml/2006/main">
  <sheetPr>
    <tabColor rgb="0070AD47"/>
    <outlinePr summaryBelow="1" summaryRight="1"/>
    <pageSetUpPr fitToPage="1"/>
  </sheetPr>
  <dimension ref="A1:H16"/>
  <sheetViews>
    <sheetView showGridLines="0" workbookViewId="0">
      <selection activeCell="A1" sqref="A1"/>
    </sheetView>
  </sheetViews>
  <sheetFormatPr baseColWidth="8" defaultRowHeight="15"/>
  <cols>
    <col width="16" customWidth="1" min="1" max="1"/>
    <col width="12" customWidth="1" min="2" max="2"/>
    <col width="12" customWidth="1" min="3" max="3"/>
    <col width="12" customWidth="1" min="4" max="4"/>
    <col width="12" customWidth="1" min="5" max="5"/>
    <col width="16" customWidth="1" min="6" max="6"/>
    <col width="16" customWidth="1" min="7" max="7"/>
    <col width="16" customWidth="1" min="8" max="8"/>
  </cols>
  <sheetData>
    <row r="1" ht="30" customHeight="1">
      <c r="A1" s="15" t="inlineStr">
        <is>
          <t>QUESTION 14  |  HLOOKUP for quarterly targets</t>
        </is>
      </c>
      <c r="B1" s="16" t="n"/>
      <c r="C1" s="16" t="n"/>
      <c r="D1" s="16" t="n"/>
      <c r="E1" s="16" t="n"/>
      <c r="F1" s="16" t="n"/>
      <c r="G1" s="16" t="n"/>
      <c r="H1" s="16" t="n"/>
    </row>
    <row r="2" ht="20" customHeight="1">
      <c r="A2" s="17" t="inlineStr">
        <is>
          <t>Level: Beginner      Functions: HLOOKUP</t>
        </is>
      </c>
      <c r="B2" s="18" t="n"/>
      <c r="C2" s="18" t="n"/>
      <c r="D2" s="18" t="n"/>
      <c r="E2" s="18" t="n"/>
      <c r="F2" s="18" t="n"/>
      <c r="G2" s="18" t="n"/>
      <c r="H2" s="18" t="n"/>
    </row>
    <row r="3" ht="18" customHeight="1">
      <c r="A3" s="19" t="inlineStr">
        <is>
          <t>CONCEPT</t>
        </is>
      </c>
      <c r="B3" s="20" t="n"/>
      <c r="C3" s="20" t="n"/>
      <c r="D3" s="20" t="n"/>
      <c r="E3" s="20" t="n"/>
      <c r="F3" s="20" t="n"/>
      <c r="G3" s="20" t="n"/>
      <c r="H3" s="20" t="n"/>
    </row>
    <row r="4" ht="78" customHeight="1">
      <c r="A4" s="21" t="inlineStr">
        <is>
          <t>VLOOKUP searches DOWN a column; HLOOKUP does the same thing but searches ACROSS a row. Use it when your reference data is laid out in rows.
Syntax: =HLOOKUP(lookup_value, table_array, row_index_num, [range_lookup])
• row_index_num: which row of the table to return (1 = first row, 2 = second row)   • range_lookup: FALSE = exact match</t>
        </is>
      </c>
      <c r="B4" s="22" t="n"/>
      <c r="C4" s="22" t="n"/>
      <c r="D4" s="22" t="n"/>
      <c r="E4" s="22" t="n"/>
      <c r="F4" s="22" t="n"/>
      <c r="G4" s="22" t="n"/>
      <c r="H4" s="22" t="n"/>
    </row>
    <row r="5" ht="18" customHeight="1">
      <c r="A5" s="19" t="inlineStr">
        <is>
          <t>YOUR TASK</t>
        </is>
      </c>
      <c r="B5" s="20" t="n"/>
      <c r="C5" s="20" t="n"/>
      <c r="D5" s="20" t="n"/>
      <c r="E5" s="20" t="n"/>
      <c r="F5" s="20" t="n"/>
      <c r="G5" s="20" t="n"/>
      <c r="H5" s="20" t="n"/>
    </row>
    <row r="6" ht="64" customHeight="1">
      <c r="A6" s="23" t="inlineStr">
        <is>
          <t>1.  Click cell B16.
2.  Write an HLOOKUP that looks up the quarter in B15 within the targets table A12:E13.
3.  Return the sales target from row 2 of the table.
4.  Use FALSE for an exact match.</t>
        </is>
      </c>
      <c r="B6" s="24" t="n"/>
      <c r="C6" s="24" t="n"/>
      <c r="D6" s="24" t="n"/>
      <c r="E6" s="24" t="n"/>
      <c r="F6" s="24" t="n"/>
      <c r="G6" s="24" t="n"/>
      <c r="H6" s="24" t="n"/>
    </row>
    <row r="7" ht="18" customHeight="1">
      <c r="A7" s="25" t="inlineStr">
        <is>
          <t>ANSWER</t>
        </is>
      </c>
      <c r="B7" s="26" t="n"/>
      <c r="C7" s="26" t="n"/>
      <c r="D7" s="26" t="n"/>
      <c r="E7" s="26" t="n"/>
      <c r="F7" s="26" t="n"/>
      <c r="G7" s="26" t="n"/>
      <c r="H7" s="26" t="n"/>
    </row>
    <row r="8" ht="36" customHeight="1">
      <c r="A8" s="27" t="inlineStr">
        <is>
          <t>B16   →   =HLOOKUP(B15,A12:E13,2,FALSE)
Expected result:  110,000  (Q3)</t>
        </is>
      </c>
      <c r="B8" s="28" t="n"/>
      <c r="C8" s="28" t="n"/>
      <c r="D8" s="28" t="n"/>
      <c r="E8" s="28" t="n"/>
      <c r="F8" s="28" t="n"/>
      <c r="G8" s="28" t="n"/>
      <c r="H8" s="28" t="n"/>
    </row>
    <row r="9" ht="4" customHeight="1"/>
    <row r="10" ht="6" customHeight="1"/>
    <row r="11" ht="20" customHeight="1">
      <c r="A11" s="29" t="inlineStr">
        <is>
          <t>PRACTICE SHEET  (yellow = input / lookup value,  green = your answer cell)</t>
        </is>
      </c>
      <c r="B11" s="30" t="n"/>
      <c r="C11" s="30" t="n"/>
      <c r="D11" s="30" t="n"/>
      <c r="E11" s="30" t="n"/>
      <c r="F11" s="30" t="n"/>
      <c r="G11" s="30" t="n"/>
      <c r="H11" s="30" t="n"/>
    </row>
    <row r="12">
      <c r="A12" s="31" t="inlineStr">
        <is>
          <t>Metric</t>
        </is>
      </c>
      <c r="B12" s="31" t="inlineStr">
        <is>
          <t>Q1</t>
        </is>
      </c>
      <c r="C12" s="31" t="inlineStr">
        <is>
          <t>Q2</t>
        </is>
      </c>
      <c r="D12" s="31" t="inlineStr">
        <is>
          <t>Q3</t>
        </is>
      </c>
      <c r="E12" s="31" t="inlineStr">
        <is>
          <t>Q4</t>
        </is>
      </c>
    </row>
    <row r="13">
      <c r="A13" s="6" t="inlineStr">
        <is>
          <t>Sales target</t>
        </is>
      </c>
      <c r="B13" s="47" t="n">
        <v>85000</v>
      </c>
      <c r="C13" s="47" t="n">
        <v>95000</v>
      </c>
      <c r="D13" s="47" t="n">
        <v>110000</v>
      </c>
      <c r="E13" s="47" t="n">
        <v>120000</v>
      </c>
    </row>
    <row r="15">
      <c r="A15" s="32" t="inlineStr">
        <is>
          <t>Quarter</t>
        </is>
      </c>
      <c r="B15" s="33" t="inlineStr">
        <is>
          <t>Q3</t>
        </is>
      </c>
    </row>
    <row r="16">
      <c r="A16" s="32" t="inlineStr">
        <is>
          <t>Target</t>
        </is>
      </c>
      <c r="B16" s="48">
        <f>HLOOKUP(B15,A12:E13,2,FALSE)</f>
        <v/>
      </c>
    </row>
  </sheetData>
  <mergeCells count="9">
    <mergeCell ref="A1:H1"/>
    <mergeCell ref="A4:H4"/>
    <mergeCell ref="A3:H3"/>
    <mergeCell ref="A7:H7"/>
    <mergeCell ref="A2:H2"/>
    <mergeCell ref="A11:H11"/>
    <mergeCell ref="A5:H5"/>
    <mergeCell ref="A8:H8"/>
    <mergeCell ref="A6:H6"/>
  </mergeCells>
  <pageMargins left="0.75" right="0.75" top="1" bottom="1" header="0.5" footer="0.5"/>
  <pageSetup orientation="landscape" fitToHeight="0" fitToWidth="1"/>
</worksheet>
</file>

<file path=xl/worksheets/sheet17.xml><?xml version="1.0" encoding="utf-8"?>
<worksheet xmlns="http://schemas.openxmlformats.org/spreadsheetml/2006/main">
  <sheetPr>
    <tabColor rgb="00ED7D31"/>
    <outlinePr summaryBelow="1" summaryRight="1"/>
    <pageSetUpPr fitToPage="1"/>
  </sheetPr>
  <dimension ref="A1:H20"/>
  <sheetViews>
    <sheetView showGridLines="0" workbookViewId="0">
      <selection activeCell="A1" sqref="A1"/>
    </sheetView>
  </sheetViews>
  <sheetFormatPr baseColWidth="8" defaultRowHeight="15"/>
  <cols>
    <col width="14" customWidth="1" min="1" max="1"/>
    <col width="12" customWidth="1" min="2" max="2"/>
    <col width="12" customWidth="1" min="3" max="3"/>
    <col width="12" customWidth="1" min="4" max="4"/>
    <col width="14" customWidth="1" min="5" max="5"/>
    <col width="4" customWidth="1" min="6" max="6"/>
    <col width="16" customWidth="1" min="7" max="7"/>
    <col width="14" customWidth="1" min="8" max="8"/>
  </cols>
  <sheetData>
    <row r="1" ht="30" customHeight="1">
      <c r="A1" s="15" t="inlineStr">
        <is>
          <t>QUESTION 15  |  VLOOKUP with approximate match</t>
        </is>
      </c>
      <c r="B1" s="16" t="n"/>
      <c r="C1" s="16" t="n"/>
      <c r="D1" s="16" t="n"/>
      <c r="E1" s="16" t="n"/>
      <c r="F1" s="16" t="n"/>
      <c r="G1" s="16" t="n"/>
      <c r="H1" s="16" t="n"/>
    </row>
    <row r="2" ht="20" customHeight="1">
      <c r="A2" s="17" t="inlineStr">
        <is>
          <t>Level: Intermediate      Functions: VLOOKUP (TRUE)</t>
        </is>
      </c>
      <c r="B2" s="18" t="n"/>
      <c r="C2" s="18" t="n"/>
      <c r="D2" s="18" t="n"/>
      <c r="E2" s="18" t="n"/>
      <c r="F2" s="18" t="n"/>
      <c r="G2" s="18" t="n"/>
      <c r="H2" s="18" t="n"/>
    </row>
    <row r="3" ht="18" customHeight="1">
      <c r="A3" s="19" t="inlineStr">
        <is>
          <t>CONCEPT</t>
        </is>
      </c>
      <c r="B3" s="20" t="n"/>
      <c r="C3" s="20" t="n"/>
      <c r="D3" s="20" t="n"/>
      <c r="E3" s="20" t="n"/>
      <c r="F3" s="20" t="n"/>
      <c r="G3" s="20" t="n"/>
      <c r="H3" s="20" t="n"/>
    </row>
    <row r="4" ht="64" customHeight="1">
      <c r="A4" s="21" t="inlineStr">
        <is>
          <t>Shipping is often priced in tiers (0–1 lb, 1–5 lb, 5–10 lb, …). This is the classic use of VLOOKUP with APPROXIMATE match: with TRUE, each weight picks the highest tier whose minimum is less than or equal to the weight. The first column of the rate table must be sorted ascending.</t>
        </is>
      </c>
      <c r="B4" s="22" t="n"/>
      <c r="C4" s="22" t="n"/>
      <c r="D4" s="22" t="n"/>
      <c r="E4" s="22" t="n"/>
      <c r="F4" s="22" t="n"/>
      <c r="G4" s="22" t="n"/>
      <c r="H4" s="22" t="n"/>
    </row>
    <row r="5" ht="18" customHeight="1">
      <c r="A5" s="19" t="inlineStr">
        <is>
          <t>YOUR TASK</t>
        </is>
      </c>
      <c r="B5" s="20" t="n"/>
      <c r="C5" s="20" t="n"/>
      <c r="D5" s="20" t="n"/>
      <c r="E5" s="20" t="n"/>
      <c r="F5" s="20" t="n"/>
      <c r="G5" s="20" t="n"/>
      <c r="H5" s="20" t="n"/>
    </row>
    <row r="6" ht="106" customHeight="1">
      <c r="A6" s="23" t="inlineStr">
        <is>
          <t>1.  You have a list of orders with package weights in C16:C20 and a tiered rate table in G16:H20 (minimum weight → rate per lb).
2.  Fill in D16:D20 with a VLOOKUP (approximate match, TRUE) that finds the Rate ($/lb) for each row's weight.
3.  Lock the rate table range so you can copy the formula down.
4.  Copy the formula from D16 down through D20. The Shipping cost column then calculates automatically.</t>
        </is>
      </c>
      <c r="B6" s="24" t="n"/>
      <c r="C6" s="24" t="n"/>
      <c r="D6" s="24" t="n"/>
      <c r="E6" s="24" t="n"/>
      <c r="F6" s="24" t="n"/>
      <c r="G6" s="24" t="n"/>
      <c r="H6" s="24" t="n"/>
    </row>
    <row r="7" ht="18" customHeight="1">
      <c r="A7" s="25" t="inlineStr">
        <is>
          <t>ANSWER</t>
        </is>
      </c>
      <c r="B7" s="26" t="n"/>
      <c r="C7" s="26" t="n"/>
      <c r="D7" s="26" t="n"/>
      <c r="E7" s="26" t="n"/>
      <c r="F7" s="26" t="n"/>
      <c r="G7" s="26" t="n"/>
      <c r="H7" s="26" t="n"/>
    </row>
    <row r="8" ht="50" customHeight="1">
      <c r="A8" s="27" t="inlineStr">
        <is>
          <t>D16   →   =VLOOKUP(C16,$G$16:$H$20,2,TRUE)     (copy down to D9)
Expected result:  Rates: 6.50, 5.75, 5.00, 4.25, 3.75   →   Shipping cost: 5.20, 13.80, 31.00, 51.00, 91.875</t>
        </is>
      </c>
      <c r="B8" s="28" t="n"/>
      <c r="C8" s="28" t="n"/>
      <c r="D8" s="28" t="n"/>
      <c r="E8" s="28" t="n"/>
      <c r="F8" s="28" t="n"/>
      <c r="G8" s="28" t="n"/>
      <c r="H8" s="28" t="n"/>
    </row>
    <row r="9" ht="4" customHeight="1"/>
    <row r="10" ht="6" customHeight="1"/>
    <row r="11" ht="20" customHeight="1">
      <c r="A11" s="29" t="inlineStr">
        <is>
          <t>PRACTICE SHEET  (yellow = input / lookup value,  green = your answer cell)</t>
        </is>
      </c>
      <c r="B11" s="30" t="n"/>
      <c r="C11" s="30" t="n"/>
      <c r="D11" s="30" t="n"/>
      <c r="E11" s="30" t="n"/>
      <c r="F11" s="30" t="n"/>
      <c r="G11" s="30" t="n"/>
      <c r="H11" s="30" t="n"/>
    </row>
    <row r="14">
      <c r="A14" s="45" t="inlineStr">
        <is>
          <t>Orders</t>
        </is>
      </c>
      <c r="G14" s="45" t="inlineStr">
        <is>
          <t>Rate table</t>
        </is>
      </c>
    </row>
    <row r="15">
      <c r="A15" s="31" t="inlineStr">
        <is>
          <t>Order #</t>
        </is>
      </c>
      <c r="B15" s="31" t="inlineStr">
        <is>
          <t>Zone</t>
        </is>
      </c>
      <c r="C15" s="31" t="inlineStr">
        <is>
          <t>Weight (lb)</t>
        </is>
      </c>
      <c r="D15" s="31" t="inlineStr">
        <is>
          <t>Rate ($/lb)</t>
        </is>
      </c>
      <c r="E15" s="31" t="inlineStr">
        <is>
          <t>Shipping cost</t>
        </is>
      </c>
      <c r="G15" s="31" t="inlineStr">
        <is>
          <t>Min weight (lb)</t>
        </is>
      </c>
      <c r="H15" s="31" t="inlineStr">
        <is>
          <t>Rate ($/lb)</t>
        </is>
      </c>
    </row>
    <row r="16">
      <c r="A16" s="6" t="inlineStr">
        <is>
          <t>SO-10421</t>
        </is>
      </c>
      <c r="B16" s="6" t="inlineStr">
        <is>
          <t>Domestic</t>
        </is>
      </c>
      <c r="C16" s="35" t="n">
        <v>0.8</v>
      </c>
      <c r="D16" s="46">
        <f>VLOOKUP(C16,$G$16:$H$20,2,TRUE)</f>
        <v/>
      </c>
      <c r="E16" s="49">
        <f>C16*D16</f>
        <v/>
      </c>
      <c r="G16" s="35" t="n">
        <v>0</v>
      </c>
      <c r="H16" s="44" t="n">
        <v>6.5</v>
      </c>
    </row>
    <row r="17">
      <c r="A17" s="6" t="inlineStr">
        <is>
          <t>SO-10422</t>
        </is>
      </c>
      <c r="B17" s="6" t="inlineStr">
        <is>
          <t>Domestic</t>
        </is>
      </c>
      <c r="C17" s="35" t="n">
        <v>2.4</v>
      </c>
      <c r="D17" s="46">
        <f>VLOOKUP(C17,$G$16:$H$20,2,TRUE)</f>
        <v/>
      </c>
      <c r="E17" s="49">
        <f>C17*D17</f>
        <v/>
      </c>
      <c r="G17" s="35" t="n">
        <v>1</v>
      </c>
      <c r="H17" s="44" t="n">
        <v>5.75</v>
      </c>
    </row>
    <row r="18">
      <c r="A18" s="6" t="inlineStr">
        <is>
          <t>SO-10423</t>
        </is>
      </c>
      <c r="B18" s="6" t="inlineStr">
        <is>
          <t>Canada</t>
        </is>
      </c>
      <c r="C18" s="35" t="n">
        <v>6.2</v>
      </c>
      <c r="D18" s="46">
        <f>VLOOKUP(C18,$G$16:$H$20,2,TRUE)</f>
        <v/>
      </c>
      <c r="E18" s="49">
        <f>C18*D18</f>
        <v/>
      </c>
      <c r="G18" s="35" t="n">
        <v>5</v>
      </c>
      <c r="H18" s="44" t="n">
        <v>5</v>
      </c>
    </row>
    <row r="19">
      <c r="A19" s="6" t="inlineStr">
        <is>
          <t>SO-10424</t>
        </is>
      </c>
      <c r="B19" s="6" t="inlineStr">
        <is>
          <t>EU</t>
        </is>
      </c>
      <c r="C19" s="35" t="n">
        <v>12</v>
      </c>
      <c r="D19" s="46">
        <f>VLOOKUP(C19,$G$16:$H$20,2,TRUE)</f>
        <v/>
      </c>
      <c r="E19" s="49">
        <f>C19*D19</f>
        <v/>
      </c>
      <c r="G19" s="35" t="n">
        <v>10</v>
      </c>
      <c r="H19" s="44" t="n">
        <v>4.25</v>
      </c>
    </row>
    <row r="20">
      <c r="A20" s="6" t="inlineStr">
        <is>
          <t>SO-10425</t>
        </is>
      </c>
      <c r="B20" s="6" t="inlineStr">
        <is>
          <t>Domestic</t>
        </is>
      </c>
      <c r="C20" s="35" t="n">
        <v>24.5</v>
      </c>
      <c r="D20" s="46">
        <f>VLOOKUP(C20,$G$16:$H$20,2,TRUE)</f>
        <v/>
      </c>
      <c r="E20" s="49">
        <f>C20*D20</f>
        <v/>
      </c>
      <c r="G20" s="35" t="n">
        <v>20</v>
      </c>
      <c r="H20" s="44" t="n">
        <v>3.75</v>
      </c>
    </row>
  </sheetData>
  <mergeCells count="9">
    <mergeCell ref="A1:H1"/>
    <mergeCell ref="A4:H4"/>
    <mergeCell ref="A3:H3"/>
    <mergeCell ref="A7:H7"/>
    <mergeCell ref="A2:H2"/>
    <mergeCell ref="A11:H11"/>
    <mergeCell ref="A5:H5"/>
    <mergeCell ref="A8:H8"/>
    <mergeCell ref="A6:H6"/>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2026-10-08T12:24:42Z</dcterms:created>
  <dcterms:modified xmlns:dcterms="http://purl.org/dc/terms/" xmlns:xsi="http://www.w3.org/2001/XMLSchema-instance" xsi:type="dcterms:W3CDTF">2026-10-08T12:24:43Z</dcterms:modified>
</cp:coreProperties>
</file>